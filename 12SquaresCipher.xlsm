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filterPrivacy="1" codeName="ThisWorkbook" defaultThemeVersion="166925"/>
  <xr:revisionPtr revIDLastSave="0" documentId="13_ncr:1_{9B28C087-5469-41EC-A10E-5F530B62F6AD}" xr6:coauthVersionLast="46" xr6:coauthVersionMax="46" xr10:uidLastSave="{00000000-0000-0000-0000-000000000000}"/>
  <bookViews>
    <workbookView xWindow="-120" yWindow="-120" windowWidth="29040" windowHeight="15840" xr2:uid="{17E29BAA-2CFF-4069-A9B3-DFFAAFCBBACA}"/>
  </bookViews>
  <sheets>
    <sheet name="Config" sheetId="9" r:id="rId1"/>
    <sheet name="Original Statement" sheetId="10" r:id="rId2"/>
    <sheet name="Cifrar" sheetId="8" state="hidden" r:id="rId3"/>
    <sheet name="Descifrar" sheetId="6" state="hidden" r:id="rId4"/>
    <sheet name="Cuadro0" sheetId="7" state="hidden" r:id="rId5"/>
    <sheet name="Cuadro1" sheetId="2" state="hidden" r:id="rId6"/>
    <sheet name="Cuadro2" sheetId="3" state="hidden" r:id="rId7"/>
    <sheet name="Cuadro3" sheetId="4" state="hidden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" i="6" l="1"/>
  <c r="B111" i="6" s="1"/>
  <c r="N1" i="8"/>
  <c r="B108" i="8" s="1"/>
  <c r="I2" i="6"/>
  <c r="H2" i="6"/>
  <c r="G2" i="6"/>
  <c r="I2" i="8"/>
  <c r="H2" i="8"/>
  <c r="G2" i="8"/>
  <c r="A28" i="4"/>
  <c r="F28" i="4" s="1"/>
  <c r="A27" i="4"/>
  <c r="F27" i="4" s="1"/>
  <c r="A26" i="4"/>
  <c r="F26" i="4" s="1"/>
  <c r="A25" i="4"/>
  <c r="F25" i="4" s="1"/>
  <c r="A24" i="4"/>
  <c r="F24" i="4" s="1"/>
  <c r="A23" i="4"/>
  <c r="F23" i="4" s="1"/>
  <c r="A22" i="4"/>
  <c r="F22" i="4" s="1"/>
  <c r="A21" i="4"/>
  <c r="F21" i="4" s="1"/>
  <c r="A20" i="4"/>
  <c r="F20" i="4" s="1"/>
  <c r="A19" i="4"/>
  <c r="F19" i="4" s="1"/>
  <c r="A18" i="4"/>
  <c r="F18" i="4" s="1"/>
  <c r="A17" i="4"/>
  <c r="F17" i="4" s="1"/>
  <c r="A16" i="4"/>
  <c r="F16" i="4" s="1"/>
  <c r="A15" i="4"/>
  <c r="F15" i="4" s="1"/>
  <c r="A14" i="4"/>
  <c r="F14" i="4" s="1"/>
  <c r="A13" i="4"/>
  <c r="F13" i="4" s="1"/>
  <c r="A12" i="4"/>
  <c r="F12" i="4" s="1"/>
  <c r="A11" i="4"/>
  <c r="F11" i="4" s="1"/>
  <c r="A10" i="4"/>
  <c r="F10" i="4" s="1"/>
  <c r="A9" i="4"/>
  <c r="F9" i="4" s="1"/>
  <c r="A8" i="4"/>
  <c r="F8" i="4" s="1"/>
  <c r="A7" i="4"/>
  <c r="F7" i="4" s="1"/>
  <c r="A6" i="4"/>
  <c r="F6" i="4" s="1"/>
  <c r="A5" i="4"/>
  <c r="A4" i="4"/>
  <c r="F4" i="4" s="1"/>
  <c r="A3" i="4"/>
  <c r="F3" i="4" s="1"/>
  <c r="A2" i="4"/>
  <c r="F2" i="4" s="1"/>
  <c r="A28" i="3"/>
  <c r="F28" i="3" s="1"/>
  <c r="A27" i="3"/>
  <c r="F27" i="3" s="1"/>
  <c r="A26" i="3"/>
  <c r="F26" i="3" s="1"/>
  <c r="A25" i="3"/>
  <c r="F25" i="3" s="1"/>
  <c r="A24" i="3"/>
  <c r="F24" i="3" s="1"/>
  <c r="A23" i="3"/>
  <c r="F23" i="3" s="1"/>
  <c r="A22" i="3"/>
  <c r="F22" i="3" s="1"/>
  <c r="A21" i="3"/>
  <c r="F21" i="3" s="1"/>
  <c r="A20" i="3"/>
  <c r="F20" i="3" s="1"/>
  <c r="A19" i="3"/>
  <c r="A18" i="3"/>
  <c r="F18" i="3" s="1"/>
  <c r="A17" i="3"/>
  <c r="F17" i="3" s="1"/>
  <c r="A16" i="3"/>
  <c r="F16" i="3" s="1"/>
  <c r="A15" i="3"/>
  <c r="F15" i="3" s="1"/>
  <c r="A14" i="3"/>
  <c r="F14" i="3" s="1"/>
  <c r="A13" i="3"/>
  <c r="F13" i="3" s="1"/>
  <c r="A12" i="3"/>
  <c r="F12" i="3" s="1"/>
  <c r="A11" i="3"/>
  <c r="F11" i="3" s="1"/>
  <c r="A10" i="3"/>
  <c r="F10" i="3" s="1"/>
  <c r="A9" i="3"/>
  <c r="F9" i="3" s="1"/>
  <c r="A8" i="3"/>
  <c r="F8" i="3" s="1"/>
  <c r="A7" i="3"/>
  <c r="F7" i="3" s="1"/>
  <c r="A6" i="3"/>
  <c r="F6" i="3" s="1"/>
  <c r="A5" i="3"/>
  <c r="F5" i="3" s="1"/>
  <c r="A4" i="3"/>
  <c r="A3" i="3"/>
  <c r="F3" i="3" s="1"/>
  <c r="A2" i="3"/>
  <c r="F2" i="3" s="1"/>
  <c r="A28" i="2"/>
  <c r="F28" i="2" s="1"/>
  <c r="A27" i="2"/>
  <c r="F27" i="2" s="1"/>
  <c r="A26" i="2"/>
  <c r="F26" i="2" s="1"/>
  <c r="A25" i="2"/>
  <c r="F25" i="2" s="1"/>
  <c r="A24" i="2"/>
  <c r="F24" i="2" s="1"/>
  <c r="A23" i="2"/>
  <c r="F23" i="2" s="1"/>
  <c r="A22" i="2"/>
  <c r="F22" i="2" s="1"/>
  <c r="A21" i="2"/>
  <c r="F21" i="2" s="1"/>
  <c r="A20" i="2"/>
  <c r="F20" i="2" s="1"/>
  <c r="A19" i="2"/>
  <c r="F19" i="2" s="1"/>
  <c r="A18" i="2"/>
  <c r="F18" i="2" s="1"/>
  <c r="A17" i="2"/>
  <c r="F17" i="2" s="1"/>
  <c r="A16" i="2"/>
  <c r="F16" i="2" s="1"/>
  <c r="A15" i="2"/>
  <c r="F15" i="2" s="1"/>
  <c r="A14" i="2"/>
  <c r="F14" i="2" s="1"/>
  <c r="A13" i="2"/>
  <c r="F13" i="2" s="1"/>
  <c r="A12" i="2"/>
  <c r="F12" i="2" s="1"/>
  <c r="A11" i="2"/>
  <c r="F11" i="2" s="1"/>
  <c r="A10" i="2"/>
  <c r="F10" i="2" s="1"/>
  <c r="A9" i="2"/>
  <c r="F9" i="2" s="1"/>
  <c r="A8" i="2"/>
  <c r="F8" i="2" s="1"/>
  <c r="A7" i="2"/>
  <c r="F7" i="2" s="1"/>
  <c r="A6" i="2"/>
  <c r="F6" i="2" s="1"/>
  <c r="A5" i="2"/>
  <c r="F5" i="2" s="1"/>
  <c r="A4" i="2"/>
  <c r="F4" i="2" s="1"/>
  <c r="A3" i="2"/>
  <c r="A2" i="2"/>
  <c r="F2" i="2" s="1"/>
  <c r="A28" i="7"/>
  <c r="F28" i="7" s="1"/>
  <c r="A27" i="7"/>
  <c r="F27" i="7" s="1"/>
  <c r="A26" i="7"/>
  <c r="F26" i="7" s="1"/>
  <c r="A25" i="7"/>
  <c r="F25" i="7" s="1"/>
  <c r="A24" i="7"/>
  <c r="F24" i="7" s="1"/>
  <c r="A23" i="7"/>
  <c r="F23" i="7" s="1"/>
  <c r="A22" i="7"/>
  <c r="F22" i="7" s="1"/>
  <c r="A21" i="7"/>
  <c r="F21" i="7" s="1"/>
  <c r="A20" i="7"/>
  <c r="F20" i="7" s="1"/>
  <c r="A19" i="7"/>
  <c r="F19" i="7" s="1"/>
  <c r="A18" i="7"/>
  <c r="F18" i="7" s="1"/>
  <c r="A17" i="7"/>
  <c r="F17" i="7" s="1"/>
  <c r="A16" i="7"/>
  <c r="F16" i="7" s="1"/>
  <c r="A15" i="7"/>
  <c r="F15" i="7" s="1"/>
  <c r="A14" i="7"/>
  <c r="F14" i="7" s="1"/>
  <c r="A13" i="7"/>
  <c r="F13" i="7" s="1"/>
  <c r="A12" i="7"/>
  <c r="F12" i="7" s="1"/>
  <c r="A11" i="7"/>
  <c r="F11" i="7" s="1"/>
  <c r="A10" i="7"/>
  <c r="F10" i="7" s="1"/>
  <c r="A9" i="7"/>
  <c r="F9" i="7" s="1"/>
  <c r="A8" i="7"/>
  <c r="F8" i="7" s="1"/>
  <c r="A7" i="7"/>
  <c r="F7" i="7" s="1"/>
  <c r="A6" i="7"/>
  <c r="F6" i="7" s="1"/>
  <c r="A5" i="7"/>
  <c r="F5" i="7" s="1"/>
  <c r="A4" i="7"/>
  <c r="F4" i="7" s="1"/>
  <c r="A3" i="7"/>
  <c r="F3" i="7" s="1"/>
  <c r="A2" i="7"/>
  <c r="F2" i="7" s="1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28" i="3"/>
  <c r="E27" i="3"/>
  <c r="E26" i="3"/>
  <c r="E25" i="3"/>
  <c r="E24" i="3"/>
  <c r="E23" i="3"/>
  <c r="E22" i="3"/>
  <c r="E21" i="3"/>
  <c r="E20" i="3"/>
  <c r="F19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B73" i="8"/>
  <c r="B53" i="8"/>
  <c r="B37" i="8"/>
  <c r="B32" i="8"/>
  <c r="B28" i="8"/>
  <c r="B24" i="8"/>
  <c r="B20" i="8"/>
  <c r="B16" i="8"/>
  <c r="B12" i="8"/>
  <c r="B8" i="8"/>
  <c r="B4" i="8"/>
  <c r="B93" i="8" l="1"/>
  <c r="B60" i="6"/>
  <c r="B11" i="6"/>
  <c r="B92" i="6"/>
  <c r="B43" i="6"/>
  <c r="E43" i="6" s="1"/>
  <c r="B19" i="6"/>
  <c r="B27" i="6"/>
  <c r="B35" i="6"/>
  <c r="B6" i="8"/>
  <c r="B10" i="8"/>
  <c r="B14" i="8"/>
  <c r="D14" i="8" s="1"/>
  <c r="B18" i="8"/>
  <c r="C18" i="8" s="1"/>
  <c r="G18" i="8" s="1"/>
  <c r="B22" i="8"/>
  <c r="B26" i="8"/>
  <c r="B30" i="8"/>
  <c r="B34" i="8"/>
  <c r="D34" i="8" s="1"/>
  <c r="B45" i="8"/>
  <c r="B61" i="8"/>
  <c r="B81" i="8"/>
  <c r="B105" i="8"/>
  <c r="B7" i="8"/>
  <c r="B11" i="8"/>
  <c r="B15" i="8"/>
  <c r="B19" i="8"/>
  <c r="D19" i="8" s="1"/>
  <c r="B23" i="8"/>
  <c r="B27" i="8"/>
  <c r="B31" i="8"/>
  <c r="B35" i="8"/>
  <c r="B49" i="8"/>
  <c r="B65" i="8"/>
  <c r="B89" i="8"/>
  <c r="B109" i="8"/>
  <c r="B5" i="8"/>
  <c r="B9" i="8"/>
  <c r="B13" i="8"/>
  <c r="E13" i="8" s="1"/>
  <c r="B17" i="8"/>
  <c r="C17" i="8" s="1"/>
  <c r="G17" i="8" s="1"/>
  <c r="B21" i="8"/>
  <c r="B25" i="8"/>
  <c r="B29" i="8"/>
  <c r="E29" i="8" s="1"/>
  <c r="B33" i="8"/>
  <c r="C33" i="8" s="1"/>
  <c r="G33" i="8" s="1"/>
  <c r="B41" i="8"/>
  <c r="B57" i="8"/>
  <c r="B77" i="8"/>
  <c r="B97" i="8"/>
  <c r="B4" i="6"/>
  <c r="D4" i="6" s="1"/>
  <c r="B12" i="6"/>
  <c r="B20" i="6"/>
  <c r="B28" i="6"/>
  <c r="C28" i="6" s="1"/>
  <c r="G28" i="6" s="1"/>
  <c r="B36" i="6"/>
  <c r="C36" i="6" s="1"/>
  <c r="G36" i="6" s="1"/>
  <c r="B44" i="6"/>
  <c r="B64" i="6"/>
  <c r="B96" i="6"/>
  <c r="B7" i="6"/>
  <c r="C7" i="6" s="1"/>
  <c r="G7" i="6" s="1"/>
  <c r="B15" i="6"/>
  <c r="B23" i="6"/>
  <c r="B31" i="6"/>
  <c r="C31" i="6" s="1"/>
  <c r="G31" i="6" s="1"/>
  <c r="B39" i="6"/>
  <c r="E39" i="6" s="1"/>
  <c r="B47" i="6"/>
  <c r="B76" i="6"/>
  <c r="B108" i="6"/>
  <c r="C108" i="6" s="1"/>
  <c r="G108" i="6" s="1"/>
  <c r="B8" i="6"/>
  <c r="B16" i="6"/>
  <c r="B24" i="6"/>
  <c r="B32" i="6"/>
  <c r="B40" i="6"/>
  <c r="C40" i="6" s="1"/>
  <c r="G40" i="6" s="1"/>
  <c r="B48" i="6"/>
  <c r="B80" i="6"/>
  <c r="B69" i="8"/>
  <c r="B85" i="8"/>
  <c r="B101" i="8"/>
  <c r="B5" i="6"/>
  <c r="B9" i="6"/>
  <c r="C9" i="6" s="1"/>
  <c r="G9" i="6" s="1"/>
  <c r="B13" i="6"/>
  <c r="B17" i="6"/>
  <c r="C17" i="6" s="1"/>
  <c r="G17" i="6" s="1"/>
  <c r="B21" i="6"/>
  <c r="B25" i="6"/>
  <c r="C25" i="6" s="1"/>
  <c r="G25" i="6" s="1"/>
  <c r="B29" i="6"/>
  <c r="B33" i="6"/>
  <c r="C33" i="6" s="1"/>
  <c r="G33" i="6" s="1"/>
  <c r="B37" i="6"/>
  <c r="B41" i="6"/>
  <c r="B45" i="6"/>
  <c r="B52" i="6"/>
  <c r="E52" i="6" s="1"/>
  <c r="I54" i="6" s="1"/>
  <c r="B68" i="6"/>
  <c r="B84" i="6"/>
  <c r="D84" i="6" s="1"/>
  <c r="B100" i="6"/>
  <c r="B6" i="6"/>
  <c r="D6" i="6" s="1"/>
  <c r="B10" i="6"/>
  <c r="B14" i="6"/>
  <c r="E14" i="6" s="1"/>
  <c r="B18" i="6"/>
  <c r="B22" i="6"/>
  <c r="E22" i="6" s="1"/>
  <c r="B26" i="6"/>
  <c r="B30" i="6"/>
  <c r="B34" i="6"/>
  <c r="B38" i="6"/>
  <c r="D38" i="6" s="1"/>
  <c r="B42" i="6"/>
  <c r="E42" i="6" s="1"/>
  <c r="B46" i="6"/>
  <c r="D46" i="6" s="1"/>
  <c r="B56" i="6"/>
  <c r="E56" i="6" s="1"/>
  <c r="B72" i="6"/>
  <c r="B88" i="6"/>
  <c r="B104" i="6"/>
  <c r="C104" i="6" s="1"/>
  <c r="G104" i="6" s="1"/>
  <c r="B49" i="6"/>
  <c r="B53" i="6"/>
  <c r="B57" i="6"/>
  <c r="D57" i="6" s="1"/>
  <c r="B61" i="6"/>
  <c r="D61" i="6" s="1"/>
  <c r="B65" i="6"/>
  <c r="B69" i="6"/>
  <c r="C69" i="6" s="1"/>
  <c r="G69" i="6" s="1"/>
  <c r="B73" i="6"/>
  <c r="C73" i="6" s="1"/>
  <c r="G73" i="6" s="1"/>
  <c r="B77" i="6"/>
  <c r="C77" i="6" s="1"/>
  <c r="G77" i="6" s="1"/>
  <c r="B81" i="6"/>
  <c r="C81" i="6" s="1"/>
  <c r="G81" i="6" s="1"/>
  <c r="B85" i="6"/>
  <c r="C85" i="6" s="1"/>
  <c r="G85" i="6" s="1"/>
  <c r="B89" i="6"/>
  <c r="C89" i="6" s="1"/>
  <c r="G89" i="6" s="1"/>
  <c r="B93" i="6"/>
  <c r="C93" i="6" s="1"/>
  <c r="G93" i="6" s="1"/>
  <c r="B97" i="6"/>
  <c r="B101" i="6"/>
  <c r="C101" i="6" s="1"/>
  <c r="G101" i="6" s="1"/>
  <c r="B105" i="6"/>
  <c r="B109" i="6"/>
  <c r="B50" i="6"/>
  <c r="D50" i="6" s="1"/>
  <c r="B54" i="6"/>
  <c r="D54" i="6" s="1"/>
  <c r="B58" i="6"/>
  <c r="C58" i="6" s="1"/>
  <c r="G58" i="6" s="1"/>
  <c r="B62" i="6"/>
  <c r="C62" i="6" s="1"/>
  <c r="G62" i="6" s="1"/>
  <c r="B66" i="6"/>
  <c r="C66" i="6" s="1"/>
  <c r="G66" i="6" s="1"/>
  <c r="B70" i="6"/>
  <c r="E70" i="6" s="1"/>
  <c r="B74" i="6"/>
  <c r="C74" i="6" s="1"/>
  <c r="G74" i="6" s="1"/>
  <c r="B78" i="6"/>
  <c r="C78" i="6" s="1"/>
  <c r="G78" i="6" s="1"/>
  <c r="B82" i="6"/>
  <c r="C82" i="6" s="1"/>
  <c r="G82" i="6" s="1"/>
  <c r="B86" i="6"/>
  <c r="C86" i="6" s="1"/>
  <c r="G86" i="6" s="1"/>
  <c r="B90" i="6"/>
  <c r="C90" i="6" s="1"/>
  <c r="G90" i="6" s="1"/>
  <c r="B94" i="6"/>
  <c r="E94" i="6" s="1"/>
  <c r="B98" i="6"/>
  <c r="C98" i="6" s="1"/>
  <c r="G98" i="6" s="1"/>
  <c r="B102" i="6"/>
  <c r="D102" i="6" s="1"/>
  <c r="B106" i="6"/>
  <c r="C106" i="6" s="1"/>
  <c r="G106" i="6" s="1"/>
  <c r="B110" i="6"/>
  <c r="D110" i="6" s="1"/>
  <c r="B51" i="6"/>
  <c r="E51" i="6" s="1"/>
  <c r="B55" i="6"/>
  <c r="D55" i="6" s="1"/>
  <c r="B59" i="6"/>
  <c r="D59" i="6" s="1"/>
  <c r="B63" i="6"/>
  <c r="E63" i="6" s="1"/>
  <c r="B67" i="6"/>
  <c r="B71" i="6"/>
  <c r="D71" i="6" s="1"/>
  <c r="B75" i="6"/>
  <c r="D75" i="6" s="1"/>
  <c r="B79" i="6"/>
  <c r="D79" i="6" s="1"/>
  <c r="B83" i="6"/>
  <c r="C83" i="6" s="1"/>
  <c r="G83" i="6" s="1"/>
  <c r="B87" i="6"/>
  <c r="D87" i="6" s="1"/>
  <c r="B91" i="6"/>
  <c r="D91" i="6" s="1"/>
  <c r="B95" i="6"/>
  <c r="C95" i="6" s="1"/>
  <c r="G95" i="6" s="1"/>
  <c r="B99" i="6"/>
  <c r="D99" i="6" s="1"/>
  <c r="B103" i="6"/>
  <c r="D103" i="6" s="1"/>
  <c r="B107" i="6"/>
  <c r="E107" i="6" s="1"/>
  <c r="B38" i="8"/>
  <c r="B42" i="8"/>
  <c r="B46" i="8"/>
  <c r="B50" i="8"/>
  <c r="B54" i="8"/>
  <c r="B58" i="8"/>
  <c r="B62" i="8"/>
  <c r="B66" i="8"/>
  <c r="B70" i="8"/>
  <c r="B74" i="8"/>
  <c r="B78" i="8"/>
  <c r="B82" i="8"/>
  <c r="B86" i="8"/>
  <c r="B90" i="8"/>
  <c r="B94" i="8"/>
  <c r="B98" i="8"/>
  <c r="B102" i="8"/>
  <c r="B106" i="8"/>
  <c r="B110" i="8"/>
  <c r="B39" i="8"/>
  <c r="B43" i="8"/>
  <c r="B47" i="8"/>
  <c r="B51" i="8"/>
  <c r="B55" i="8"/>
  <c r="B59" i="8"/>
  <c r="B63" i="8"/>
  <c r="B67" i="8"/>
  <c r="B71" i="8"/>
  <c r="B75" i="8"/>
  <c r="B79" i="8"/>
  <c r="B83" i="8"/>
  <c r="B87" i="8"/>
  <c r="B91" i="8"/>
  <c r="B95" i="8"/>
  <c r="B99" i="8"/>
  <c r="B103" i="8"/>
  <c r="B107" i="8"/>
  <c r="B111" i="8"/>
  <c r="B36" i="8"/>
  <c r="B40" i="8"/>
  <c r="B44" i="8"/>
  <c r="B48" i="8"/>
  <c r="B52" i="8"/>
  <c r="B56" i="8"/>
  <c r="B60" i="8"/>
  <c r="E60" i="8" s="1"/>
  <c r="B64" i="8"/>
  <c r="B68" i="8"/>
  <c r="B72" i="8"/>
  <c r="B76" i="8"/>
  <c r="C76" i="8" s="1"/>
  <c r="G76" i="8" s="1"/>
  <c r="B80" i="8"/>
  <c r="B84" i="8"/>
  <c r="B88" i="8"/>
  <c r="D88" i="8" s="1"/>
  <c r="B92" i="8"/>
  <c r="B96" i="8"/>
  <c r="B100" i="8"/>
  <c r="B104" i="8"/>
  <c r="E5" i="8"/>
  <c r="E21" i="8"/>
  <c r="D29" i="8"/>
  <c r="E9" i="8"/>
  <c r="E25" i="8"/>
  <c r="E10" i="8"/>
  <c r="C30" i="8"/>
  <c r="G30" i="8" s="1"/>
  <c r="C27" i="8"/>
  <c r="G27" i="8" s="1"/>
  <c r="D6" i="8"/>
  <c r="E22" i="8"/>
  <c r="D26" i="8"/>
  <c r="C7" i="8"/>
  <c r="G7" i="8" s="1"/>
  <c r="E11" i="8"/>
  <c r="D15" i="8"/>
  <c r="E23" i="8"/>
  <c r="C31" i="8"/>
  <c r="G31" i="8" s="1"/>
  <c r="D4" i="8"/>
  <c r="E8" i="8"/>
  <c r="I9" i="8" s="1"/>
  <c r="E12" i="8"/>
  <c r="D16" i="8"/>
  <c r="E20" i="8"/>
  <c r="I21" i="8" s="1"/>
  <c r="E24" i="8"/>
  <c r="C28" i="8"/>
  <c r="G28" i="8" s="1"/>
  <c r="D32" i="8"/>
  <c r="F5" i="4"/>
  <c r="C23" i="6"/>
  <c r="G23" i="6" s="1"/>
  <c r="F4" i="3"/>
  <c r="E14" i="8"/>
  <c r="D27" i="8"/>
  <c r="D7" i="8"/>
  <c r="E15" i="8"/>
  <c r="I13" i="8" s="1"/>
  <c r="C21" i="8"/>
  <c r="G21" i="8" s="1"/>
  <c r="C9" i="8"/>
  <c r="G9" i="8" s="1"/>
  <c r="C22" i="8"/>
  <c r="G22" i="8" s="1"/>
  <c r="D30" i="8"/>
  <c r="C10" i="8"/>
  <c r="G10" i="8" s="1"/>
  <c r="E26" i="8"/>
  <c r="D31" i="8"/>
  <c r="H33" i="8" s="1"/>
  <c r="D12" i="6"/>
  <c r="C24" i="6"/>
  <c r="G24" i="6" s="1"/>
  <c r="D48" i="6"/>
  <c r="H46" i="6" s="1"/>
  <c r="E60" i="6"/>
  <c r="F3" i="2"/>
  <c r="D65" i="6"/>
  <c r="E36" i="8"/>
  <c r="D36" i="8"/>
  <c r="C36" i="8"/>
  <c r="G36" i="8" s="1"/>
  <c r="D48" i="8"/>
  <c r="C48" i="8"/>
  <c r="G48" i="8" s="1"/>
  <c r="E48" i="8"/>
  <c r="D76" i="8"/>
  <c r="E76" i="8"/>
  <c r="D96" i="8"/>
  <c r="C96" i="8"/>
  <c r="G96" i="8" s="1"/>
  <c r="E96" i="8"/>
  <c r="D108" i="8"/>
  <c r="C108" i="8"/>
  <c r="G108" i="8" s="1"/>
  <c r="E108" i="8"/>
  <c r="E16" i="8"/>
  <c r="C20" i="8"/>
  <c r="G20" i="8" s="1"/>
  <c r="E37" i="8"/>
  <c r="D37" i="8"/>
  <c r="C37" i="8"/>
  <c r="G37" i="8" s="1"/>
  <c r="C41" i="8"/>
  <c r="G41" i="8" s="1"/>
  <c r="E41" i="8"/>
  <c r="D41" i="8"/>
  <c r="E45" i="8"/>
  <c r="D45" i="8"/>
  <c r="C45" i="8"/>
  <c r="G45" i="8" s="1"/>
  <c r="D49" i="8"/>
  <c r="C49" i="8"/>
  <c r="G49" i="8" s="1"/>
  <c r="E49" i="8"/>
  <c r="E53" i="8"/>
  <c r="D53" i="8"/>
  <c r="C53" i="8"/>
  <c r="G53" i="8" s="1"/>
  <c r="C57" i="8"/>
  <c r="G57" i="8" s="1"/>
  <c r="E57" i="8"/>
  <c r="D57" i="8"/>
  <c r="E61" i="8"/>
  <c r="D61" i="8"/>
  <c r="C61" i="8"/>
  <c r="G61" i="8" s="1"/>
  <c r="C65" i="8"/>
  <c r="G65" i="8" s="1"/>
  <c r="E65" i="8"/>
  <c r="D65" i="8"/>
  <c r="E69" i="8"/>
  <c r="D69" i="8"/>
  <c r="C69" i="8"/>
  <c r="G69" i="8" s="1"/>
  <c r="E73" i="8"/>
  <c r="D73" i="8"/>
  <c r="C73" i="8"/>
  <c r="G73" i="8" s="1"/>
  <c r="C77" i="8"/>
  <c r="G77" i="8" s="1"/>
  <c r="E77" i="8"/>
  <c r="D77" i="8"/>
  <c r="C81" i="8"/>
  <c r="G81" i="8" s="1"/>
  <c r="E81" i="8"/>
  <c r="D81" i="8"/>
  <c r="E85" i="8"/>
  <c r="D85" i="8"/>
  <c r="C85" i="8"/>
  <c r="G85" i="8" s="1"/>
  <c r="C89" i="8"/>
  <c r="G89" i="8" s="1"/>
  <c r="E89" i="8"/>
  <c r="D89" i="8"/>
  <c r="H88" i="8" s="1"/>
  <c r="E93" i="8"/>
  <c r="D93" i="8"/>
  <c r="C93" i="8"/>
  <c r="G93" i="8" s="1"/>
  <c r="D97" i="8"/>
  <c r="C97" i="8"/>
  <c r="G97" i="8" s="1"/>
  <c r="E97" i="8"/>
  <c r="E101" i="8"/>
  <c r="D101" i="8"/>
  <c r="C101" i="8"/>
  <c r="G101" i="8" s="1"/>
  <c r="E105" i="8"/>
  <c r="D105" i="8"/>
  <c r="C105" i="8"/>
  <c r="G105" i="8" s="1"/>
  <c r="D109" i="8"/>
  <c r="C109" i="8"/>
  <c r="G109" i="8" s="1"/>
  <c r="E109" i="8"/>
  <c r="E7" i="8"/>
  <c r="I8" i="8" s="1"/>
  <c r="D8" i="8"/>
  <c r="H7" i="8" s="1"/>
  <c r="D9" i="8"/>
  <c r="H8" i="8" s="1"/>
  <c r="D10" i="8"/>
  <c r="C11" i="8"/>
  <c r="G11" i="8" s="1"/>
  <c r="C12" i="8"/>
  <c r="G12" i="8" s="1"/>
  <c r="C13" i="8"/>
  <c r="G13" i="8" s="1"/>
  <c r="E17" i="8"/>
  <c r="E18" i="8"/>
  <c r="E19" i="8"/>
  <c r="I20" i="8" s="1"/>
  <c r="D20" i="8"/>
  <c r="H19" i="8" s="1"/>
  <c r="D21" i="8"/>
  <c r="D22" i="8"/>
  <c r="C23" i="8"/>
  <c r="G23" i="8" s="1"/>
  <c r="C24" i="8"/>
  <c r="G24" i="8" s="1"/>
  <c r="C25" i="8"/>
  <c r="G25" i="8" s="1"/>
  <c r="E27" i="8"/>
  <c r="I25" i="8" s="1"/>
  <c r="E28" i="8"/>
  <c r="E30" i="8"/>
  <c r="I28" i="8" s="1"/>
  <c r="E31" i="8"/>
  <c r="E33" i="8"/>
  <c r="E34" i="8"/>
  <c r="C44" i="8"/>
  <c r="G44" i="8" s="1"/>
  <c r="E44" i="8"/>
  <c r="D44" i="8"/>
  <c r="D56" i="8"/>
  <c r="C56" i="8"/>
  <c r="G56" i="8" s="1"/>
  <c r="E56" i="8"/>
  <c r="I57" i="8" s="1"/>
  <c r="E68" i="8"/>
  <c r="D68" i="8"/>
  <c r="C68" i="8"/>
  <c r="G68" i="8" s="1"/>
  <c r="D80" i="8"/>
  <c r="C80" i="8"/>
  <c r="G80" i="8" s="1"/>
  <c r="E80" i="8"/>
  <c r="I81" i="8" s="1"/>
  <c r="E100" i="8"/>
  <c r="D100" i="8"/>
  <c r="C100" i="8"/>
  <c r="G100" i="8" s="1"/>
  <c r="C8" i="8"/>
  <c r="G8" i="8" s="1"/>
  <c r="D28" i="8"/>
  <c r="H30" i="8" s="1"/>
  <c r="E32" i="8"/>
  <c r="D38" i="8"/>
  <c r="H37" i="8" s="1"/>
  <c r="C38" i="8"/>
  <c r="G38" i="8" s="1"/>
  <c r="E38" i="8"/>
  <c r="E42" i="8"/>
  <c r="D42" i="8"/>
  <c r="H41" i="8" s="1"/>
  <c r="C42" i="8"/>
  <c r="G42" i="8" s="1"/>
  <c r="E46" i="8"/>
  <c r="D46" i="8"/>
  <c r="C46" i="8"/>
  <c r="G46" i="8" s="1"/>
  <c r="C50" i="8"/>
  <c r="G50" i="8" s="1"/>
  <c r="E50" i="8"/>
  <c r="D50" i="8"/>
  <c r="E54" i="8"/>
  <c r="D54" i="8"/>
  <c r="C54" i="8"/>
  <c r="G54" i="8" s="1"/>
  <c r="C58" i="8"/>
  <c r="G58" i="8" s="1"/>
  <c r="E58" i="8"/>
  <c r="D58" i="8"/>
  <c r="E62" i="8"/>
  <c r="D62" i="8"/>
  <c r="C62" i="8"/>
  <c r="G62" i="8" s="1"/>
  <c r="C66" i="8"/>
  <c r="G66" i="8" s="1"/>
  <c r="E66" i="8"/>
  <c r="I64" i="8" s="1"/>
  <c r="D66" i="8"/>
  <c r="E70" i="8"/>
  <c r="D70" i="8"/>
  <c r="C70" i="8"/>
  <c r="G70" i="8" s="1"/>
  <c r="D74" i="8"/>
  <c r="H73" i="8" s="1"/>
  <c r="C74" i="8"/>
  <c r="G74" i="8" s="1"/>
  <c r="E74" i="8"/>
  <c r="C78" i="8"/>
  <c r="G78" i="8" s="1"/>
  <c r="E78" i="8"/>
  <c r="D78" i="8"/>
  <c r="C82" i="8"/>
  <c r="G82" i="8" s="1"/>
  <c r="E82" i="8"/>
  <c r="D82" i="8"/>
  <c r="D86" i="8"/>
  <c r="H85" i="8" s="1"/>
  <c r="C86" i="8"/>
  <c r="G86" i="8" s="1"/>
  <c r="E86" i="8"/>
  <c r="E90" i="8"/>
  <c r="D90" i="8"/>
  <c r="H89" i="8" s="1"/>
  <c r="C90" i="8"/>
  <c r="G90" i="8" s="1"/>
  <c r="E94" i="8"/>
  <c r="D94" i="8"/>
  <c r="C94" i="8"/>
  <c r="G94" i="8" s="1"/>
  <c r="E98" i="8"/>
  <c r="D98" i="8"/>
  <c r="C98" i="8"/>
  <c r="G98" i="8" s="1"/>
  <c r="E102" i="8"/>
  <c r="D102" i="8"/>
  <c r="C102" i="8"/>
  <c r="G102" i="8" s="1"/>
  <c r="E106" i="8"/>
  <c r="D106" i="8"/>
  <c r="C106" i="8"/>
  <c r="G106" i="8" s="1"/>
  <c r="C110" i="8"/>
  <c r="G110" i="8" s="1"/>
  <c r="E110" i="8"/>
  <c r="D110" i="8"/>
  <c r="D11" i="8"/>
  <c r="D12" i="8"/>
  <c r="H11" i="8" s="1"/>
  <c r="D13" i="8"/>
  <c r="H15" i="8" s="1"/>
  <c r="C14" i="8"/>
  <c r="G14" i="8" s="1"/>
  <c r="C15" i="8"/>
  <c r="G15" i="8" s="1"/>
  <c r="C16" i="8"/>
  <c r="G16" i="8" s="1"/>
  <c r="D23" i="8"/>
  <c r="D24" i="8"/>
  <c r="D25" i="8"/>
  <c r="H27" i="8" s="1"/>
  <c r="C26" i="8"/>
  <c r="G26" i="8" s="1"/>
  <c r="C29" i="8"/>
  <c r="G29" i="8" s="1"/>
  <c r="C32" i="8"/>
  <c r="G32" i="8" s="1"/>
  <c r="D40" i="8"/>
  <c r="C40" i="8"/>
  <c r="G40" i="8" s="1"/>
  <c r="E40" i="8"/>
  <c r="I41" i="8" s="1"/>
  <c r="C52" i="8"/>
  <c r="G52" i="8" s="1"/>
  <c r="E52" i="8"/>
  <c r="D52" i="8"/>
  <c r="H54" i="8" s="1"/>
  <c r="D64" i="8"/>
  <c r="H66" i="8" s="1"/>
  <c r="C64" i="8"/>
  <c r="G64" i="8" s="1"/>
  <c r="E64" i="8"/>
  <c r="I65" i="8" s="1"/>
  <c r="E72" i="8"/>
  <c r="D72" i="8"/>
  <c r="C72" i="8"/>
  <c r="G72" i="8" s="1"/>
  <c r="E84" i="8"/>
  <c r="D84" i="8"/>
  <c r="C84" i="8"/>
  <c r="G84" i="8" s="1"/>
  <c r="E92" i="8"/>
  <c r="D92" i="8"/>
  <c r="C92" i="8"/>
  <c r="G92" i="8" s="1"/>
  <c r="E104" i="8"/>
  <c r="D104" i="8"/>
  <c r="C104" i="8"/>
  <c r="G104" i="8" s="1"/>
  <c r="E35" i="8"/>
  <c r="I36" i="8" s="1"/>
  <c r="D35" i="8"/>
  <c r="H34" i="8" s="1"/>
  <c r="D39" i="8"/>
  <c r="H38" i="8" s="1"/>
  <c r="C39" i="8"/>
  <c r="G39" i="8" s="1"/>
  <c r="E39" i="8"/>
  <c r="E43" i="8"/>
  <c r="I44" i="8" s="1"/>
  <c r="D43" i="8"/>
  <c r="C43" i="8"/>
  <c r="G43" i="8" s="1"/>
  <c r="D47" i="8"/>
  <c r="C47" i="8"/>
  <c r="G47" i="8" s="1"/>
  <c r="E47" i="8"/>
  <c r="I48" i="8" s="1"/>
  <c r="C51" i="8"/>
  <c r="G51" i="8" s="1"/>
  <c r="E51" i="8"/>
  <c r="I49" i="8" s="1"/>
  <c r="D51" i="8"/>
  <c r="H50" i="8" s="1"/>
  <c r="E55" i="8"/>
  <c r="D55" i="8"/>
  <c r="C55" i="8"/>
  <c r="G55" i="8" s="1"/>
  <c r="E59" i="8"/>
  <c r="D59" i="8"/>
  <c r="C59" i="8"/>
  <c r="G59" i="8" s="1"/>
  <c r="D63" i="8"/>
  <c r="C63" i="8"/>
  <c r="G63" i="8" s="1"/>
  <c r="E63" i="8"/>
  <c r="C67" i="8"/>
  <c r="G67" i="8" s="1"/>
  <c r="E67" i="8"/>
  <c r="D67" i="8"/>
  <c r="E71" i="8"/>
  <c r="D71" i="8"/>
  <c r="H70" i="8" s="1"/>
  <c r="C71" i="8"/>
  <c r="G71" i="8" s="1"/>
  <c r="C75" i="8"/>
  <c r="G75" i="8" s="1"/>
  <c r="E75" i="8"/>
  <c r="D75" i="8"/>
  <c r="C79" i="8"/>
  <c r="G79" i="8" s="1"/>
  <c r="E79" i="8"/>
  <c r="D79" i="8"/>
  <c r="E83" i="8"/>
  <c r="I84" i="8" s="1"/>
  <c r="D83" i="8"/>
  <c r="C83" i="8"/>
  <c r="G83" i="8" s="1"/>
  <c r="D87" i="8"/>
  <c r="H86" i="8" s="1"/>
  <c r="C87" i="8"/>
  <c r="G87" i="8" s="1"/>
  <c r="E87" i="8"/>
  <c r="E91" i="8"/>
  <c r="D91" i="8"/>
  <c r="C91" i="8"/>
  <c r="G91" i="8" s="1"/>
  <c r="D95" i="8"/>
  <c r="C95" i="8"/>
  <c r="G95" i="8" s="1"/>
  <c r="E95" i="8"/>
  <c r="E99" i="8"/>
  <c r="D99" i="8"/>
  <c r="H98" i="8" s="1"/>
  <c r="C99" i="8"/>
  <c r="G99" i="8" s="1"/>
  <c r="E103" i="8"/>
  <c r="D103" i="8"/>
  <c r="C103" i="8"/>
  <c r="G103" i="8" s="1"/>
  <c r="D107" i="8"/>
  <c r="C107" i="8"/>
  <c r="G107" i="8" s="1"/>
  <c r="E107" i="8"/>
  <c r="E111" i="8"/>
  <c r="D111" i="8"/>
  <c r="C111" i="8"/>
  <c r="G111" i="8" s="1"/>
  <c r="C35" i="8"/>
  <c r="G35" i="8" s="1"/>
  <c r="E6" i="8"/>
  <c r="I6" i="8" s="1"/>
  <c r="D5" i="8"/>
  <c r="H4" i="8" s="1"/>
  <c r="E4" i="8"/>
  <c r="I5" i="8" s="1"/>
  <c r="C4" i="8"/>
  <c r="G4" i="8" s="1"/>
  <c r="C5" i="8"/>
  <c r="G5" i="8" s="1"/>
  <c r="C6" i="8"/>
  <c r="G6" i="8" s="1"/>
  <c r="E30" i="6"/>
  <c r="D42" i="6"/>
  <c r="C12" i="6"/>
  <c r="G12" i="6" s="1"/>
  <c r="C15" i="6"/>
  <c r="G15" i="6" s="1"/>
  <c r="C27" i="6"/>
  <c r="G27" i="6" s="1"/>
  <c r="E111" i="6"/>
  <c r="C11" i="6"/>
  <c r="G11" i="6" s="1"/>
  <c r="E8" i="6"/>
  <c r="C35" i="6"/>
  <c r="G35" i="6" s="1"/>
  <c r="E47" i="6"/>
  <c r="C71" i="6"/>
  <c r="G71" i="6" s="1"/>
  <c r="D83" i="6"/>
  <c r="H84" i="6" s="1"/>
  <c r="E5" i="6"/>
  <c r="C20" i="6"/>
  <c r="G20" i="6" s="1"/>
  <c r="C32" i="6"/>
  <c r="G32" i="6" s="1"/>
  <c r="D44" i="6"/>
  <c r="C19" i="6"/>
  <c r="G19" i="6" s="1"/>
  <c r="D67" i="6"/>
  <c r="C91" i="6"/>
  <c r="G91" i="6" s="1"/>
  <c r="C16" i="6"/>
  <c r="G16" i="6" s="1"/>
  <c r="E64" i="6"/>
  <c r="D76" i="6"/>
  <c r="D11" i="6"/>
  <c r="H12" i="6" s="1"/>
  <c r="C8" i="6"/>
  <c r="G8" i="6" s="1"/>
  <c r="E16" i="6"/>
  <c r="E27" i="6"/>
  <c r="E91" i="6"/>
  <c r="D8" i="6"/>
  <c r="E11" i="6"/>
  <c r="E12" i="6"/>
  <c r="D15" i="6"/>
  <c r="E36" i="6"/>
  <c r="D16" i="6"/>
  <c r="E32" i="6"/>
  <c r="C44" i="6"/>
  <c r="G44" i="6" s="1"/>
  <c r="E4" i="6"/>
  <c r="E23" i="6"/>
  <c r="D24" i="6"/>
  <c r="E44" i="6"/>
  <c r="E75" i="6"/>
  <c r="E83" i="6"/>
  <c r="E24" i="6"/>
  <c r="I23" i="6" s="1"/>
  <c r="D107" i="6"/>
  <c r="E15" i="6"/>
  <c r="I14" i="6" s="1"/>
  <c r="E20" i="6"/>
  <c r="D23" i="6"/>
  <c r="E50" i="6"/>
  <c r="C111" i="6"/>
  <c r="G111" i="6" s="1"/>
  <c r="D5" i="6"/>
  <c r="H6" i="6" s="1"/>
  <c r="E19" i="6"/>
  <c r="D20" i="6"/>
  <c r="D27" i="6"/>
  <c r="E31" i="6"/>
  <c r="D32" i="6"/>
  <c r="E35" i="6"/>
  <c r="D36" i="6"/>
  <c r="E46" i="6"/>
  <c r="E48" i="6"/>
  <c r="C50" i="6"/>
  <c r="G50" i="6" s="1"/>
  <c r="C56" i="6"/>
  <c r="G56" i="6" s="1"/>
  <c r="D58" i="6"/>
  <c r="C60" i="6"/>
  <c r="G60" i="6" s="1"/>
  <c r="E67" i="6"/>
  <c r="E98" i="6"/>
  <c r="E99" i="6"/>
  <c r="I98" i="6" s="1"/>
  <c r="D106" i="6"/>
  <c r="H107" i="6" s="1"/>
  <c r="D43" i="6"/>
  <c r="H44" i="6" s="1"/>
  <c r="C48" i="6"/>
  <c r="G48" i="6" s="1"/>
  <c r="C63" i="6"/>
  <c r="G63" i="6" s="1"/>
  <c r="C64" i="6"/>
  <c r="G64" i="6" s="1"/>
  <c r="D66" i="6"/>
  <c r="C67" i="6"/>
  <c r="G67" i="6" s="1"/>
  <c r="C79" i="6"/>
  <c r="G79" i="6" s="1"/>
  <c r="D82" i="6"/>
  <c r="H83" i="6" s="1"/>
  <c r="C99" i="6"/>
  <c r="G99" i="6" s="1"/>
  <c r="C110" i="6"/>
  <c r="G110" i="6" s="1"/>
  <c r="C5" i="6"/>
  <c r="G5" i="6" s="1"/>
  <c r="D19" i="6"/>
  <c r="H20" i="6" s="1"/>
  <c r="D31" i="6"/>
  <c r="D35" i="6"/>
  <c r="H36" i="6" s="1"/>
  <c r="D39" i="6"/>
  <c r="C46" i="6"/>
  <c r="G46" i="6" s="1"/>
  <c r="D47" i="6"/>
  <c r="H48" i="6" s="1"/>
  <c r="D51" i="6"/>
  <c r="E62" i="6"/>
  <c r="E66" i="6"/>
  <c r="E82" i="6"/>
  <c r="D98" i="6"/>
  <c r="H99" i="6" s="1"/>
  <c r="E102" i="6"/>
  <c r="D111" i="6"/>
  <c r="D26" i="6"/>
  <c r="H27" i="6" s="1"/>
  <c r="C26" i="6"/>
  <c r="G26" i="6" s="1"/>
  <c r="E29" i="6"/>
  <c r="I28" i="6" s="1"/>
  <c r="D29" i="6"/>
  <c r="C41" i="6"/>
  <c r="G41" i="6" s="1"/>
  <c r="E41" i="6"/>
  <c r="D41" i="6"/>
  <c r="H42" i="6" s="1"/>
  <c r="D10" i="6"/>
  <c r="H11" i="6" s="1"/>
  <c r="C10" i="6"/>
  <c r="G10" i="6" s="1"/>
  <c r="E13" i="6"/>
  <c r="D13" i="6"/>
  <c r="C6" i="6"/>
  <c r="G6" i="6" s="1"/>
  <c r="E7" i="6"/>
  <c r="E10" i="6"/>
  <c r="I12" i="6" s="1"/>
  <c r="C13" i="6"/>
  <c r="G13" i="6" s="1"/>
  <c r="D14" i="6"/>
  <c r="C14" i="6"/>
  <c r="G14" i="6" s="1"/>
  <c r="D17" i="6"/>
  <c r="E26" i="6"/>
  <c r="C29" i="6"/>
  <c r="G29" i="6" s="1"/>
  <c r="D30" i="6"/>
  <c r="H28" i="6" s="1"/>
  <c r="C30" i="6"/>
  <c r="G30" i="6" s="1"/>
  <c r="E33" i="6"/>
  <c r="I32" i="6" s="1"/>
  <c r="D33" i="6"/>
  <c r="C37" i="6"/>
  <c r="G37" i="6" s="1"/>
  <c r="E37" i="6"/>
  <c r="I39" i="6" s="1"/>
  <c r="D37" i="6"/>
  <c r="H38" i="6" s="1"/>
  <c r="C53" i="6"/>
  <c r="G53" i="6" s="1"/>
  <c r="E53" i="6"/>
  <c r="D53" i="6"/>
  <c r="H54" i="6" s="1"/>
  <c r="D18" i="6"/>
  <c r="H16" i="6" s="1"/>
  <c r="C18" i="6"/>
  <c r="G18" i="6" s="1"/>
  <c r="E21" i="6"/>
  <c r="D21" i="6"/>
  <c r="D34" i="6"/>
  <c r="C34" i="6"/>
  <c r="G34" i="6" s="1"/>
  <c r="E9" i="6"/>
  <c r="I8" i="6" s="1"/>
  <c r="D9" i="6"/>
  <c r="H7" i="6" s="1"/>
  <c r="E18" i="6"/>
  <c r="C21" i="6"/>
  <c r="G21" i="6" s="1"/>
  <c r="D22" i="6"/>
  <c r="C22" i="6"/>
  <c r="G22" i="6" s="1"/>
  <c r="E25" i="6"/>
  <c r="D25" i="6"/>
  <c r="H26" i="6" s="1"/>
  <c r="E34" i="6"/>
  <c r="C45" i="6"/>
  <c r="G45" i="6" s="1"/>
  <c r="E45" i="6"/>
  <c r="I44" i="6" s="1"/>
  <c r="D45" i="6"/>
  <c r="C49" i="6"/>
  <c r="G49" i="6" s="1"/>
  <c r="E49" i="6"/>
  <c r="I51" i="6" s="1"/>
  <c r="D49" i="6"/>
  <c r="H50" i="6" s="1"/>
  <c r="E57" i="6"/>
  <c r="I56" i="6" s="1"/>
  <c r="E65" i="6"/>
  <c r="I64" i="6" s="1"/>
  <c r="E72" i="6"/>
  <c r="I71" i="6" s="1"/>
  <c r="C72" i="6"/>
  <c r="G72" i="6" s="1"/>
  <c r="E74" i="6"/>
  <c r="E80" i="6"/>
  <c r="C80" i="6"/>
  <c r="G80" i="6" s="1"/>
  <c r="E92" i="6"/>
  <c r="D92" i="6"/>
  <c r="H93" i="6" s="1"/>
  <c r="C92" i="6"/>
  <c r="G92" i="6" s="1"/>
  <c r="D97" i="6"/>
  <c r="H98" i="6" s="1"/>
  <c r="E97" i="6"/>
  <c r="E61" i="6"/>
  <c r="C39" i="6"/>
  <c r="G39" i="6" s="1"/>
  <c r="C43" i="6"/>
  <c r="G43" i="6" s="1"/>
  <c r="C47" i="6"/>
  <c r="G47" i="6" s="1"/>
  <c r="C51" i="6"/>
  <c r="G51" i="6" s="1"/>
  <c r="C55" i="6"/>
  <c r="G55" i="6" s="1"/>
  <c r="D56" i="6"/>
  <c r="D60" i="6"/>
  <c r="D64" i="6"/>
  <c r="H65" i="6" s="1"/>
  <c r="D70" i="6"/>
  <c r="D72" i="6"/>
  <c r="H70" i="6" s="1"/>
  <c r="D73" i="6"/>
  <c r="E73" i="6"/>
  <c r="D78" i="6"/>
  <c r="H76" i="6" s="1"/>
  <c r="D80" i="6"/>
  <c r="D81" i="6"/>
  <c r="E81" i="6"/>
  <c r="D86" i="6"/>
  <c r="E96" i="6"/>
  <c r="I95" i="6" s="1"/>
  <c r="D96" i="6"/>
  <c r="C96" i="6"/>
  <c r="G96" i="6" s="1"/>
  <c r="C97" i="6"/>
  <c r="G97" i="6" s="1"/>
  <c r="D101" i="6"/>
  <c r="H102" i="6" s="1"/>
  <c r="E101" i="6"/>
  <c r="D105" i="6"/>
  <c r="C105" i="6"/>
  <c r="G105" i="6" s="1"/>
  <c r="E105" i="6"/>
  <c r="E68" i="6"/>
  <c r="C68" i="6"/>
  <c r="G68" i="6" s="1"/>
  <c r="E76" i="6"/>
  <c r="C76" i="6"/>
  <c r="G76" i="6" s="1"/>
  <c r="E78" i="6"/>
  <c r="E84" i="6"/>
  <c r="C84" i="6"/>
  <c r="G84" i="6" s="1"/>
  <c r="E86" i="6"/>
  <c r="D89" i="6"/>
  <c r="E89" i="6"/>
  <c r="E100" i="6"/>
  <c r="D100" i="6"/>
  <c r="H101" i="6" s="1"/>
  <c r="C100" i="6"/>
  <c r="G100" i="6" s="1"/>
  <c r="E104" i="6"/>
  <c r="D104" i="6"/>
  <c r="D109" i="6"/>
  <c r="C109" i="6"/>
  <c r="G109" i="6" s="1"/>
  <c r="E109" i="6"/>
  <c r="I111" i="6" s="1"/>
  <c r="C57" i="6"/>
  <c r="G57" i="6" s="1"/>
  <c r="C61" i="6"/>
  <c r="G61" i="6" s="1"/>
  <c r="C65" i="6"/>
  <c r="G65" i="6" s="1"/>
  <c r="D68" i="6"/>
  <c r="D69" i="6"/>
  <c r="H67" i="6" s="1"/>
  <c r="E69" i="6"/>
  <c r="D74" i="6"/>
  <c r="D77" i="6"/>
  <c r="E77" i="6"/>
  <c r="I76" i="6" s="1"/>
  <c r="D85" i="6"/>
  <c r="H86" i="6" s="1"/>
  <c r="E85" i="6"/>
  <c r="E88" i="6"/>
  <c r="I90" i="6" s="1"/>
  <c r="D88" i="6"/>
  <c r="C88" i="6"/>
  <c r="G88" i="6" s="1"/>
  <c r="D93" i="6"/>
  <c r="E93" i="6"/>
  <c r="I92" i="6" s="1"/>
  <c r="E108" i="6"/>
  <c r="I107" i="6" s="1"/>
  <c r="D108" i="6"/>
  <c r="H106" i="6" s="1"/>
  <c r="E88" i="8" l="1"/>
  <c r="I89" i="8" s="1"/>
  <c r="J89" i="8" s="1"/>
  <c r="C60" i="8"/>
  <c r="G60" i="8" s="1"/>
  <c r="I26" i="8"/>
  <c r="C88" i="8"/>
  <c r="G88" i="8" s="1"/>
  <c r="D60" i="8"/>
  <c r="H59" i="8" s="1"/>
  <c r="D33" i="8"/>
  <c r="H32" i="8" s="1"/>
  <c r="C19" i="8"/>
  <c r="G19" i="8" s="1"/>
  <c r="C34" i="8"/>
  <c r="G34" i="8" s="1"/>
  <c r="D40" i="6"/>
  <c r="H41" i="6" s="1"/>
  <c r="E40" i="6"/>
  <c r="I42" i="6" s="1"/>
  <c r="C4" i="6"/>
  <c r="G4" i="6" s="1"/>
  <c r="D7" i="6"/>
  <c r="H8" i="6" s="1"/>
  <c r="J8" i="6" s="1"/>
  <c r="D18" i="8"/>
  <c r="H17" i="8" s="1"/>
  <c r="D17" i="8"/>
  <c r="H16" i="8" s="1"/>
  <c r="I76" i="8"/>
  <c r="H48" i="8"/>
  <c r="J48" i="8" s="1"/>
  <c r="H60" i="8"/>
  <c r="I29" i="8"/>
  <c r="D28" i="6"/>
  <c r="H29" i="6" s="1"/>
  <c r="E28" i="6"/>
  <c r="I30" i="6" s="1"/>
  <c r="C94" i="6"/>
  <c r="G94" i="6" s="1"/>
  <c r="E95" i="6"/>
  <c r="I94" i="6" s="1"/>
  <c r="D63" i="6"/>
  <c r="H61" i="6" s="1"/>
  <c r="E17" i="6"/>
  <c r="I16" i="6" s="1"/>
  <c r="J16" i="6" s="1"/>
  <c r="C102" i="6"/>
  <c r="G102" i="6" s="1"/>
  <c r="E90" i="6"/>
  <c r="I89" i="6" s="1"/>
  <c r="C54" i="6"/>
  <c r="G54" i="6" s="1"/>
  <c r="J54" i="6" s="1"/>
  <c r="C42" i="6"/>
  <c r="G42" i="6" s="1"/>
  <c r="C107" i="6"/>
  <c r="G107" i="6" s="1"/>
  <c r="J107" i="6" s="1"/>
  <c r="E54" i="6"/>
  <c r="I53" i="6" s="1"/>
  <c r="E59" i="6"/>
  <c r="I58" i="6" s="1"/>
  <c r="C59" i="6"/>
  <c r="G59" i="6" s="1"/>
  <c r="C38" i="6"/>
  <c r="G38" i="6" s="1"/>
  <c r="E87" i="6"/>
  <c r="I86" i="6" s="1"/>
  <c r="J86" i="6" s="1"/>
  <c r="E55" i="6"/>
  <c r="I57" i="6" s="1"/>
  <c r="C87" i="6"/>
  <c r="G87" i="6" s="1"/>
  <c r="E6" i="6"/>
  <c r="I5" i="6" s="1"/>
  <c r="E71" i="6"/>
  <c r="I70" i="6" s="1"/>
  <c r="E38" i="6"/>
  <c r="I37" i="6" s="1"/>
  <c r="C52" i="6"/>
  <c r="G52" i="6" s="1"/>
  <c r="E103" i="6"/>
  <c r="I105" i="6" s="1"/>
  <c r="D52" i="6"/>
  <c r="H53" i="6" s="1"/>
  <c r="C103" i="6"/>
  <c r="G103" i="6" s="1"/>
  <c r="C70" i="6"/>
  <c r="G70" i="6" s="1"/>
  <c r="I65" i="6"/>
  <c r="J65" i="6" s="1"/>
  <c r="I21" i="6"/>
  <c r="E79" i="6"/>
  <c r="I81" i="6" s="1"/>
  <c r="H59" i="6"/>
  <c r="I47" i="6"/>
  <c r="D94" i="6"/>
  <c r="D95" i="6"/>
  <c r="D62" i="6"/>
  <c r="H63" i="6" s="1"/>
  <c r="E58" i="6"/>
  <c r="I60" i="6" s="1"/>
  <c r="I22" i="6"/>
  <c r="H110" i="6"/>
  <c r="H57" i="6"/>
  <c r="I79" i="6"/>
  <c r="I63" i="6"/>
  <c r="H91" i="6"/>
  <c r="H75" i="6"/>
  <c r="H79" i="6"/>
  <c r="D90" i="6"/>
  <c r="H90" i="6" s="1"/>
  <c r="J90" i="6" s="1"/>
  <c r="E110" i="6"/>
  <c r="I110" i="6" s="1"/>
  <c r="J110" i="6" s="1"/>
  <c r="E106" i="6"/>
  <c r="I108" i="6" s="1"/>
  <c r="I43" i="6"/>
  <c r="C75" i="6"/>
  <c r="G75" i="6" s="1"/>
  <c r="I60" i="8"/>
  <c r="H96" i="8"/>
  <c r="I96" i="8"/>
  <c r="I61" i="8"/>
  <c r="H58" i="8"/>
  <c r="H103" i="8"/>
  <c r="I93" i="8"/>
  <c r="H109" i="8"/>
  <c r="I52" i="8"/>
  <c r="I16" i="8"/>
  <c r="H68" i="8"/>
  <c r="H56" i="8"/>
  <c r="H40" i="8"/>
  <c r="H26" i="8"/>
  <c r="I109" i="8"/>
  <c r="H94" i="8"/>
  <c r="I85" i="8"/>
  <c r="J85" i="8" s="1"/>
  <c r="H82" i="8"/>
  <c r="H62" i="8"/>
  <c r="H46" i="8"/>
  <c r="I37" i="8"/>
  <c r="J37" i="8" s="1"/>
  <c r="I101" i="8"/>
  <c r="H80" i="8"/>
  <c r="I78" i="8"/>
  <c r="H64" i="8"/>
  <c r="J64" i="8" s="1"/>
  <c r="H107" i="8"/>
  <c r="H78" i="6"/>
  <c r="H69" i="6"/>
  <c r="I103" i="6"/>
  <c r="I83" i="6"/>
  <c r="J83" i="6" s="1"/>
  <c r="H103" i="6"/>
  <c r="I80" i="6"/>
  <c r="I75" i="6"/>
  <c r="H43" i="6"/>
  <c r="H31" i="6"/>
  <c r="I9" i="6"/>
  <c r="I69" i="6"/>
  <c r="I48" i="6"/>
  <c r="J48" i="6" s="1"/>
  <c r="I34" i="6"/>
  <c r="H24" i="6"/>
  <c r="I77" i="6"/>
  <c r="I100" i="6"/>
  <c r="H94" i="6"/>
  <c r="H58" i="6"/>
  <c r="I91" i="6"/>
  <c r="I27" i="6"/>
  <c r="J27" i="6" s="1"/>
  <c r="I17" i="6"/>
  <c r="H35" i="6"/>
  <c r="H15" i="6"/>
  <c r="H30" i="6"/>
  <c r="H88" i="6"/>
  <c r="I62" i="6"/>
  <c r="I41" i="6"/>
  <c r="I19" i="6"/>
  <c r="I10" i="6"/>
  <c r="H105" i="8"/>
  <c r="I97" i="8"/>
  <c r="H74" i="8"/>
  <c r="I53" i="8"/>
  <c r="H10" i="8"/>
  <c r="H72" i="8"/>
  <c r="H67" i="8"/>
  <c r="H111" i="8"/>
  <c r="I91" i="8"/>
  <c r="I79" i="8"/>
  <c r="I43" i="8"/>
  <c r="I17" i="8"/>
  <c r="I104" i="8"/>
  <c r="H93" i="8"/>
  <c r="H81" i="8"/>
  <c r="J81" i="8" s="1"/>
  <c r="I73" i="8"/>
  <c r="J73" i="8" s="1"/>
  <c r="I72" i="8"/>
  <c r="I56" i="8"/>
  <c r="H45" i="8"/>
  <c r="H23" i="8"/>
  <c r="H108" i="8"/>
  <c r="I100" i="8"/>
  <c r="H77" i="8"/>
  <c r="I59" i="8"/>
  <c r="I69" i="8"/>
  <c r="I31" i="8"/>
  <c r="H100" i="8"/>
  <c r="H99" i="8"/>
  <c r="H52" i="8"/>
  <c r="H51" i="8"/>
  <c r="I106" i="8"/>
  <c r="I22" i="8"/>
  <c r="I11" i="8"/>
  <c r="J11" i="8" s="1"/>
  <c r="H14" i="8"/>
  <c r="I88" i="6"/>
  <c r="I73" i="6"/>
  <c r="I87" i="6"/>
  <c r="I25" i="6"/>
  <c r="H109" i="6"/>
  <c r="I84" i="6"/>
  <c r="J84" i="6" s="1"/>
  <c r="H49" i="6"/>
  <c r="H37" i="6"/>
  <c r="H64" i="6"/>
  <c r="J64" i="6" s="1"/>
  <c r="H56" i="6"/>
  <c r="J56" i="6" s="1"/>
  <c r="I97" i="6"/>
  <c r="H33" i="6"/>
  <c r="H21" i="6"/>
  <c r="I49" i="6"/>
  <c r="I96" i="6"/>
  <c r="I6" i="6"/>
  <c r="J6" i="6" s="1"/>
  <c r="H17" i="6"/>
  <c r="H72" i="6"/>
  <c r="H25" i="6"/>
  <c r="H74" i="6"/>
  <c r="I99" i="6"/>
  <c r="J99" i="6" s="1"/>
  <c r="I68" i="6"/>
  <c r="H18" i="6"/>
  <c r="H14" i="6"/>
  <c r="J14" i="6" s="1"/>
  <c r="H85" i="6"/>
  <c r="I33" i="6"/>
  <c r="I67" i="6"/>
  <c r="J67" i="6" s="1"/>
  <c r="I85" i="6"/>
  <c r="I104" i="6"/>
  <c r="H81" i="6"/>
  <c r="H19" i="6"/>
  <c r="I101" i="6"/>
  <c r="J101" i="6" s="1"/>
  <c r="I72" i="6"/>
  <c r="H45" i="6"/>
  <c r="I106" i="6"/>
  <c r="J106" i="6" s="1"/>
  <c r="I46" i="6"/>
  <c r="J46" i="6" s="1"/>
  <c r="H39" i="6"/>
  <c r="J39" i="6" s="1"/>
  <c r="I29" i="6"/>
  <c r="I71" i="8"/>
  <c r="H43" i="8"/>
  <c r="H24" i="8"/>
  <c r="H87" i="8"/>
  <c r="H39" i="8"/>
  <c r="H90" i="8"/>
  <c r="I34" i="8"/>
  <c r="H66" i="6"/>
  <c r="I45" i="6"/>
  <c r="H47" i="6"/>
  <c r="H5" i="8"/>
  <c r="J5" i="8" s="1"/>
  <c r="I7" i="8"/>
  <c r="J7" i="8" s="1"/>
  <c r="H28" i="8"/>
  <c r="J28" i="8" s="1"/>
  <c r="I82" i="6"/>
  <c r="I35" i="6"/>
  <c r="H9" i="6"/>
  <c r="I26" i="6"/>
  <c r="J26" i="6" s="1"/>
  <c r="H89" i="6"/>
  <c r="H105" i="6"/>
  <c r="I102" i="6"/>
  <c r="I78" i="6"/>
  <c r="H87" i="6"/>
  <c r="H71" i="6"/>
  <c r="J71" i="6" s="1"/>
  <c r="I36" i="6"/>
  <c r="J36" i="6" s="1"/>
  <c r="H23" i="6"/>
  <c r="J23" i="6" s="1"/>
  <c r="I20" i="6"/>
  <c r="J20" i="6" s="1"/>
  <c r="I52" i="6"/>
  <c r="I15" i="6"/>
  <c r="I40" i="6"/>
  <c r="I61" i="6"/>
  <c r="H32" i="6"/>
  <c r="J32" i="6" s="1"/>
  <c r="H100" i="6"/>
  <c r="H34" i="6"/>
  <c r="H108" i="6"/>
  <c r="I74" i="6"/>
  <c r="H22" i="6"/>
  <c r="H96" i="6"/>
  <c r="H13" i="6"/>
  <c r="I93" i="6"/>
  <c r="J93" i="6" s="1"/>
  <c r="I18" i="6"/>
  <c r="H104" i="6"/>
  <c r="H77" i="6"/>
  <c r="H80" i="6"/>
  <c r="I13" i="6"/>
  <c r="H97" i="6"/>
  <c r="I50" i="6"/>
  <c r="J50" i="6" s="1"/>
  <c r="H110" i="8"/>
  <c r="H106" i="8"/>
  <c r="I92" i="8"/>
  <c r="I80" i="8"/>
  <c r="H69" i="8"/>
  <c r="I105" i="8"/>
  <c r="H71" i="8"/>
  <c r="H22" i="8"/>
  <c r="I111" i="8"/>
  <c r="I107" i="8"/>
  <c r="I88" i="8"/>
  <c r="H84" i="8"/>
  <c r="J84" i="8" s="1"/>
  <c r="H65" i="8"/>
  <c r="J65" i="8" s="1"/>
  <c r="H61" i="8"/>
  <c r="H49" i="8"/>
  <c r="J49" i="8" s="1"/>
  <c r="I40" i="8"/>
  <c r="I33" i="8"/>
  <c r="J33" i="8" s="1"/>
  <c r="H102" i="8"/>
  <c r="H79" i="8"/>
  <c r="I45" i="8"/>
  <c r="I32" i="8"/>
  <c r="H20" i="8"/>
  <c r="J20" i="8" s="1"/>
  <c r="I18" i="8"/>
  <c r="H12" i="8"/>
  <c r="I110" i="8"/>
  <c r="J110" i="8" s="1"/>
  <c r="H104" i="8"/>
  <c r="I102" i="8"/>
  <c r="I90" i="8"/>
  <c r="I86" i="8"/>
  <c r="J86" i="8" s="1"/>
  <c r="H76" i="8"/>
  <c r="H75" i="8"/>
  <c r="I67" i="8"/>
  <c r="I55" i="8"/>
  <c r="I54" i="8"/>
  <c r="J54" i="8" s="1"/>
  <c r="I42" i="8"/>
  <c r="I38" i="8"/>
  <c r="J38" i="8" s="1"/>
  <c r="H95" i="8"/>
  <c r="I77" i="8"/>
  <c r="H47" i="8"/>
  <c r="H21" i="8"/>
  <c r="J21" i="8" s="1"/>
  <c r="I24" i="6"/>
  <c r="H6" i="8"/>
  <c r="J6" i="8" s="1"/>
  <c r="H25" i="8"/>
  <c r="J25" i="8" s="1"/>
  <c r="I31" i="6"/>
  <c r="I11" i="6"/>
  <c r="J11" i="6" s="1"/>
  <c r="H60" i="6"/>
  <c r="I66" i="6"/>
  <c r="H68" i="6"/>
  <c r="H5" i="6"/>
  <c r="I7" i="6"/>
  <c r="J7" i="6" s="1"/>
  <c r="I38" i="6"/>
  <c r="H52" i="6"/>
  <c r="H55" i="6"/>
  <c r="I4" i="8"/>
  <c r="J4" i="8" s="1"/>
  <c r="I68" i="8"/>
  <c r="H83" i="8"/>
  <c r="I70" i="8"/>
  <c r="J70" i="8" s="1"/>
  <c r="H97" i="8"/>
  <c r="I95" i="8"/>
  <c r="I87" i="8"/>
  <c r="I83" i="8"/>
  <c r="I63" i="8"/>
  <c r="I51" i="8"/>
  <c r="I47" i="8"/>
  <c r="I39" i="8"/>
  <c r="I103" i="8"/>
  <c r="I98" i="8"/>
  <c r="J98" i="8" s="1"/>
  <c r="H92" i="8"/>
  <c r="I74" i="8"/>
  <c r="H63" i="8"/>
  <c r="I50" i="8"/>
  <c r="J50" i="8" s="1"/>
  <c r="H44" i="8"/>
  <c r="J44" i="8" s="1"/>
  <c r="I58" i="8"/>
  <c r="H82" i="6"/>
  <c r="H29" i="8"/>
  <c r="H36" i="8"/>
  <c r="J36" i="8" s="1"/>
  <c r="H9" i="8"/>
  <c r="J9" i="8" s="1"/>
  <c r="I15" i="8"/>
  <c r="J15" i="8" s="1"/>
  <c r="H31" i="8"/>
  <c r="H18" i="8"/>
  <c r="I12" i="8"/>
  <c r="I23" i="8"/>
  <c r="J23" i="8" s="1"/>
  <c r="I19" i="8"/>
  <c r="H92" i="6"/>
  <c r="J92" i="6" s="1"/>
  <c r="H62" i="6"/>
  <c r="I55" i="6"/>
  <c r="I4" i="6"/>
  <c r="H111" i="6"/>
  <c r="J111" i="6" s="1"/>
  <c r="H51" i="6"/>
  <c r="J51" i="6" s="1"/>
  <c r="H73" i="6"/>
  <c r="H40" i="6"/>
  <c r="H4" i="6"/>
  <c r="I108" i="8"/>
  <c r="H57" i="8"/>
  <c r="J57" i="8" s="1"/>
  <c r="H91" i="8"/>
  <c r="I82" i="8"/>
  <c r="H42" i="8"/>
  <c r="H101" i="8"/>
  <c r="I99" i="8"/>
  <c r="I75" i="8"/>
  <c r="H53" i="8"/>
  <c r="H55" i="8"/>
  <c r="I35" i="8"/>
  <c r="I66" i="8"/>
  <c r="J66" i="8" s="1"/>
  <c r="I62" i="8"/>
  <c r="I94" i="8"/>
  <c r="H78" i="8"/>
  <c r="I46" i="8"/>
  <c r="H35" i="8"/>
  <c r="I59" i="6"/>
  <c r="H10" i="6"/>
  <c r="I27" i="8"/>
  <c r="J27" i="8" s="1"/>
  <c r="I30" i="8"/>
  <c r="J30" i="8" s="1"/>
  <c r="I10" i="8"/>
  <c r="I24" i="8"/>
  <c r="H13" i="8"/>
  <c r="J13" i="8" s="1"/>
  <c r="I14" i="8"/>
  <c r="J44" i="6"/>
  <c r="J28" i="6"/>
  <c r="J12" i="6"/>
  <c r="J76" i="6"/>
  <c r="J98" i="6"/>
  <c r="J41" i="8"/>
  <c r="J8" i="8"/>
  <c r="J43" i="6" l="1"/>
  <c r="J78" i="8"/>
  <c r="J99" i="8"/>
  <c r="J59" i="8"/>
  <c r="J24" i="8"/>
  <c r="J39" i="8"/>
  <c r="J79" i="6"/>
  <c r="J34" i="8"/>
  <c r="J88" i="8"/>
  <c r="J26" i="8"/>
  <c r="J72" i="8"/>
  <c r="J60" i="8"/>
  <c r="J106" i="8"/>
  <c r="J93" i="8"/>
  <c r="J96" i="8"/>
  <c r="J62" i="8"/>
  <c r="J19" i="8"/>
  <c r="J80" i="8"/>
  <c r="J17" i="8"/>
  <c r="J82" i="8"/>
  <c r="J51" i="8"/>
  <c r="J77" i="6"/>
  <c r="J32" i="8"/>
  <c r="J58" i="8"/>
  <c r="J105" i="8"/>
  <c r="J95" i="8"/>
  <c r="J101" i="8"/>
  <c r="J103" i="8"/>
  <c r="J97" i="8"/>
  <c r="J108" i="8"/>
  <c r="J52" i="8"/>
  <c r="J47" i="8"/>
  <c r="J87" i="8"/>
  <c r="J107" i="8"/>
  <c r="J53" i="8"/>
  <c r="J76" i="8"/>
  <c r="J91" i="8"/>
  <c r="J79" i="8"/>
  <c r="J104" i="8"/>
  <c r="J90" i="8"/>
  <c r="J45" i="8"/>
  <c r="J111" i="8"/>
  <c r="J46" i="8"/>
  <c r="J94" i="8"/>
  <c r="J56" i="8"/>
  <c r="J109" i="8"/>
  <c r="J16" i="8"/>
  <c r="J69" i="8"/>
  <c r="J68" i="8"/>
  <c r="J74" i="8"/>
  <c r="J29" i="8"/>
  <c r="J55" i="8"/>
  <c r="J77" i="8"/>
  <c r="J75" i="8"/>
  <c r="J71" i="8"/>
  <c r="J100" i="8"/>
  <c r="J43" i="8"/>
  <c r="J61" i="8"/>
  <c r="J83" i="8"/>
  <c r="J42" i="8"/>
  <c r="J102" i="8"/>
  <c r="J92" i="8"/>
  <c r="J80" i="6"/>
  <c r="J69" i="6"/>
  <c r="J97" i="6"/>
  <c r="J96" i="6"/>
  <c r="J38" i="6"/>
  <c r="J62" i="6"/>
  <c r="J47" i="6"/>
  <c r="J5" i="6"/>
  <c r="J60" i="6"/>
  <c r="J42" i="6"/>
  <c r="J59" i="6"/>
  <c r="J25" i="6"/>
  <c r="J24" i="6"/>
  <c r="I109" i="6"/>
  <c r="J109" i="6" s="1"/>
  <c r="J9" i="6"/>
  <c r="J10" i="6"/>
  <c r="J82" i="6"/>
  <c r="J88" i="6"/>
  <c r="J29" i="6"/>
  <c r="J18" i="6"/>
  <c r="J74" i="6"/>
  <c r="J70" i="6"/>
  <c r="J78" i="6"/>
  <c r="J104" i="6"/>
  <c r="J87" i="6"/>
  <c r="J21" i="6"/>
  <c r="J91" i="6"/>
  <c r="J30" i="6"/>
  <c r="J49" i="6"/>
  <c r="J13" i="6"/>
  <c r="J31" i="6"/>
  <c r="J15" i="6"/>
  <c r="J102" i="6"/>
  <c r="J41" i="6"/>
  <c r="J75" i="6"/>
  <c r="J63" i="6"/>
  <c r="J57" i="6"/>
  <c r="J100" i="6"/>
  <c r="J66" i="6"/>
  <c r="J68" i="6"/>
  <c r="J72" i="6"/>
  <c r="J34" i="6"/>
  <c r="J81" i="6"/>
  <c r="J37" i="6"/>
  <c r="J85" i="6"/>
  <c r="J17" i="6"/>
  <c r="J89" i="6"/>
  <c r="J105" i="6"/>
  <c r="J61" i="6"/>
  <c r="J19" i="6"/>
  <c r="J33" i="6"/>
  <c r="J103" i="6"/>
  <c r="J14" i="8"/>
  <c r="J31" i="8"/>
  <c r="J10" i="8"/>
  <c r="J63" i="8"/>
  <c r="J67" i="8"/>
  <c r="J53" i="6"/>
  <c r="J40" i="6"/>
  <c r="J22" i="6"/>
  <c r="J52" i="6"/>
  <c r="J108" i="6"/>
  <c r="J45" i="6"/>
  <c r="J73" i="6"/>
  <c r="J4" i="6"/>
  <c r="J55" i="6"/>
  <c r="J94" i="6"/>
  <c r="J12" i="8"/>
  <c r="J22" i="8"/>
  <c r="J40" i="8"/>
  <c r="J35" i="6"/>
  <c r="J58" i="6"/>
  <c r="H95" i="6"/>
  <c r="J95" i="6" s="1"/>
  <c r="J35" i="8"/>
  <c r="J18" i="8"/>
  <c r="N2" i="8" l="1"/>
  <c r="S22" i="9" s="1"/>
  <c r="N2" i="6"/>
  <c r="S26" i="9" s="1"/>
</calcChain>
</file>

<file path=xl/sharedStrings.xml><?xml version="1.0" encoding="utf-8"?>
<sst xmlns="http://schemas.openxmlformats.org/spreadsheetml/2006/main" count="210" uniqueCount="101">
  <si>
    <t>x</t>
  </si>
  <si>
    <t>y</t>
  </si>
  <si>
    <t>z</t>
  </si>
  <si>
    <t>-</t>
  </si>
  <si>
    <t>A</t>
  </si>
  <si>
    <t>B</t>
  </si>
  <si>
    <t>C</t>
  </si>
  <si>
    <t>M</t>
  </si>
  <si>
    <t>E</t>
  </si>
  <si>
    <t>F</t>
  </si>
  <si>
    <t>D</t>
  </si>
  <si>
    <t>H</t>
  </si>
  <si>
    <t>J</t>
  </si>
  <si>
    <t>L</t>
  </si>
  <si>
    <t>G</t>
  </si>
  <si>
    <t>I</t>
  </si>
  <si>
    <t>N</t>
  </si>
  <si>
    <t>K</t>
  </si>
  <si>
    <t>O</t>
  </si>
  <si>
    <t>P</t>
  </si>
  <si>
    <t>Q</t>
  </si>
  <si>
    <t>Y</t>
  </si>
  <si>
    <t>W</t>
  </si>
  <si>
    <t>U</t>
  </si>
  <si>
    <t>S</t>
  </si>
  <si>
    <t>Z</t>
  </si>
  <si>
    <t>V</t>
  </si>
  <si>
    <t>X</t>
  </si>
  <si>
    <t>T</t>
  </si>
  <si>
    <t>R</t>
  </si>
  <si>
    <t>LETRA</t>
  </si>
  <si>
    <t>Rotación</t>
  </si>
  <si>
    <t>Cifrado</t>
  </si>
  <si>
    <t>Descifrado</t>
  </si>
  <si>
    <t>YOUWILLOFCOURSENEEDSOMEWHERETOSTARTSOHOPEFULLYTHISWILLASSISTYOU</t>
  </si>
  <si>
    <t>Rotación en X</t>
  </si>
  <si>
    <t>Rotación en Y</t>
  </si>
  <si>
    <t>Rotación en Z</t>
  </si>
  <si>
    <t>Texto</t>
  </si>
  <si>
    <t>SELECCIONE AQUI</t>
  </si>
  <si>
    <t>INGRESE CLAVE 1</t>
  </si>
  <si>
    <t>INGRESE CLAVE 2</t>
  </si>
  <si>
    <t>INGRESE CLAVE 3</t>
  </si>
  <si>
    <t>INGRESE TEXTO CIFRADO A DESENCRIPTAR</t>
  </si>
  <si>
    <t>TEXTO CIFRADO</t>
  </si>
  <si>
    <t>TEXTO DESENCRIPTADO</t>
  </si>
  <si>
    <t>BGJIAD-LCEKMNHFVYQSTXWPZORU</t>
  </si>
  <si>
    <t>NHILJKMGCBD-EFASQZTVWUPYORX</t>
  </si>
  <si>
    <t>You will, of course, need somewhere to start. So hopefully this will assist you.</t>
  </si>
  <si>
    <t>Sxz pxkd, f- vj-enr, fhjl iyshjklcg ay mptuk. Oq hkbhcix-m rrui ricz ybtubr sxz.</t>
  </si>
  <si>
    <r>
      <t>F</t>
    </r>
    <r>
      <rPr>
        <sz val="11"/>
        <color rgb="FF242729"/>
        <rFont val="Arial"/>
        <family val="2"/>
      </rPr>
      <t>rom the simple caesar to the see</t>
    </r>
    <r>
      <rPr>
        <b/>
        <sz val="11"/>
        <color rgb="FF242729"/>
        <rFont val="Arial"/>
        <family val="2"/>
      </rPr>
      <t>m</t>
    </r>
    <r>
      <rPr>
        <sz val="11"/>
        <color rgb="FF242729"/>
        <rFont val="Arial"/>
        <family val="2"/>
      </rPr>
      <t>ingly uncrackable elliptic curve, there are countless ways to</t>
    </r>
  </si>
  <si>
    <r>
      <t>obscure </t>
    </r>
    <r>
      <rPr>
        <b/>
        <sz val="11"/>
        <color rgb="FF242729"/>
        <rFont val="Arial"/>
        <family val="2"/>
      </rPr>
      <t>-</t>
    </r>
    <r>
      <rPr>
        <sz val="11"/>
        <color rgb="FF242729"/>
        <rFont val="Arial"/>
        <family val="2"/>
      </rPr>
      <t> and even hide - a sensi</t>
    </r>
    <r>
      <rPr>
        <b/>
        <sz val="11"/>
        <color rgb="FF242729"/>
        <rFont val="Arial"/>
        <family val="2"/>
      </rPr>
      <t>t</t>
    </r>
    <r>
      <rPr>
        <sz val="11"/>
        <color rgb="FF242729"/>
        <rFont val="Arial"/>
        <family val="2"/>
      </rPr>
      <t>ive message. Cryptograp</t>
    </r>
    <r>
      <rPr>
        <b/>
        <sz val="11"/>
        <color rgb="FF242729"/>
        <rFont val="Arial"/>
        <family val="2"/>
      </rPr>
      <t>h</t>
    </r>
    <r>
      <rPr>
        <sz val="11"/>
        <color rgb="FF242729"/>
        <rFont val="Arial"/>
        <family val="2"/>
      </rPr>
      <t>y is quite </t>
    </r>
    <r>
      <rPr>
        <b/>
        <sz val="11"/>
        <color rgb="FF242729"/>
        <rFont val="Arial"/>
        <family val="2"/>
      </rPr>
      <t>i</t>
    </r>
    <r>
      <rPr>
        <sz val="11"/>
        <color rgb="FF242729"/>
        <rFont val="Arial"/>
        <family val="2"/>
      </rPr>
      <t>nte</t>
    </r>
    <r>
      <rPr>
        <b/>
        <sz val="11"/>
        <color rgb="FF242729"/>
        <rFont val="Arial"/>
        <family val="2"/>
      </rPr>
      <t>r</t>
    </r>
    <r>
      <rPr>
        <sz val="11"/>
        <color rgb="FF242729"/>
        <rFont val="Arial"/>
        <family val="2"/>
      </rPr>
      <t>es</t>
    </r>
    <r>
      <rPr>
        <b/>
        <sz val="11"/>
        <color rgb="FF242729"/>
        <rFont val="Arial"/>
        <family val="2"/>
      </rPr>
      <t>t</t>
    </r>
    <r>
      <rPr>
        <sz val="11"/>
        <color rgb="FF242729"/>
        <rFont val="Arial"/>
        <family val="2"/>
      </rPr>
      <t>ing in this wa</t>
    </r>
    <r>
      <rPr>
        <b/>
        <sz val="11"/>
        <color rgb="FF242729"/>
        <rFont val="Arial"/>
        <family val="2"/>
      </rPr>
      <t>y</t>
    </r>
    <r>
      <rPr>
        <sz val="11"/>
        <color rgb="FF242729"/>
        <rFont val="Arial"/>
        <family val="2"/>
      </rPr>
      <t>. I </t>
    </r>
    <r>
      <rPr>
        <b/>
        <sz val="11"/>
        <color rgb="FF242729"/>
        <rFont val="Arial"/>
        <family val="2"/>
      </rPr>
      <t>f</t>
    </r>
    <r>
      <rPr>
        <sz val="11"/>
        <color rgb="FF242729"/>
        <rFont val="Arial"/>
        <family val="2"/>
      </rPr>
      <t>ind</t>
    </r>
  </si>
  <si>
    <r>
      <t>the simpler ones - which are solvable thr</t>
    </r>
    <r>
      <rPr>
        <b/>
        <sz val="11"/>
        <color rgb="FF242729"/>
        <rFont val="Arial"/>
        <family val="2"/>
      </rPr>
      <t>ou</t>
    </r>
    <r>
      <rPr>
        <sz val="11"/>
        <color rgb="FF242729"/>
        <rFont val="Arial"/>
        <family val="2"/>
      </rPr>
      <t>gh pen and pape</t>
    </r>
    <r>
      <rPr>
        <b/>
        <sz val="11"/>
        <color rgb="FF242729"/>
        <rFont val="Arial"/>
        <family val="2"/>
      </rPr>
      <t>r</t>
    </r>
    <r>
      <rPr>
        <sz val="11"/>
        <color rgb="FF242729"/>
        <rFont val="Arial"/>
        <family val="2"/>
      </rPr>
      <t> </t>
    </r>
    <r>
      <rPr>
        <b/>
        <sz val="11"/>
        <color rgb="FF242729"/>
        <rFont val="Arial"/>
        <family val="2"/>
      </rPr>
      <t>-</t>
    </r>
    <r>
      <rPr>
        <sz val="11"/>
        <color rgb="FF242729"/>
        <rFont val="Arial"/>
        <family val="2"/>
      </rPr>
      <t> to be </t>
    </r>
    <r>
      <rPr>
        <b/>
        <sz val="11"/>
        <color rgb="FF242729"/>
        <rFont val="Arial"/>
        <family val="2"/>
      </rPr>
      <t>f</t>
    </r>
    <r>
      <rPr>
        <sz val="11"/>
        <color rgb="FF242729"/>
        <rFont val="Arial"/>
        <family val="2"/>
      </rPr>
      <t>un little puzzles. The only</t>
    </r>
  </si>
  <si>
    <r>
      <t>problem is, once you know how to s</t>
    </r>
    <r>
      <rPr>
        <b/>
        <sz val="11"/>
        <color rgb="FF242729"/>
        <rFont val="Arial"/>
        <family val="2"/>
      </rPr>
      <t>o</t>
    </r>
    <r>
      <rPr>
        <sz val="11"/>
        <color rgb="FF242729"/>
        <rFont val="Arial"/>
        <family val="2"/>
      </rPr>
      <t>lve a particular type, it becomes less interesting to solve</t>
    </r>
  </si>
  <si>
    <r>
      <t>anothe</t>
    </r>
    <r>
      <rPr>
        <b/>
        <sz val="11"/>
        <color rgb="FF242729"/>
        <rFont val="Arial"/>
        <family val="2"/>
      </rPr>
      <t>r</t>
    </r>
    <r>
      <rPr>
        <sz val="11"/>
        <color rgb="FF242729"/>
        <rFont val="Arial"/>
        <family val="2"/>
      </rPr>
      <t> of the same. </t>
    </r>
    <r>
      <rPr>
        <b/>
        <sz val="11"/>
        <color rgb="FF242729"/>
        <rFont val="Arial"/>
        <family val="2"/>
      </rPr>
      <t>T</t>
    </r>
    <r>
      <rPr>
        <sz val="11"/>
        <color rgb="FF242729"/>
        <rFont val="Arial"/>
        <family val="2"/>
      </rPr>
      <t>here are a handful of popular ciphers which get published ever</t>
    </r>
    <r>
      <rPr>
        <b/>
        <sz val="11"/>
        <color rgb="FF242729"/>
        <rFont val="Arial"/>
        <family val="2"/>
      </rPr>
      <t>y</t>
    </r>
    <r>
      <rPr>
        <sz val="11"/>
        <color rgb="FF242729"/>
        <rFont val="Arial"/>
        <family val="2"/>
      </rPr>
      <t>where </t>
    </r>
    <r>
      <rPr>
        <b/>
        <sz val="11"/>
        <color rgb="FF242729"/>
        <rFont val="Arial"/>
        <family val="2"/>
      </rPr>
      <t>-</t>
    </r>
  </si>
  <si>
    <r>
      <t>beaten to death. </t>
    </r>
    <r>
      <rPr>
        <b/>
        <sz val="11"/>
        <color rgb="FF242729"/>
        <rFont val="Arial"/>
        <family val="2"/>
      </rPr>
      <t>T</t>
    </r>
    <r>
      <rPr>
        <sz val="11"/>
        <color rgb="FF242729"/>
        <rFont val="Arial"/>
        <family val="2"/>
      </rPr>
      <t>he unique, custom one offs are much harder to come by. So, belo</t>
    </r>
    <r>
      <rPr>
        <b/>
        <sz val="11"/>
        <color rgb="FF242729"/>
        <rFont val="Arial"/>
        <family val="2"/>
      </rPr>
      <t>w</t>
    </r>
    <r>
      <rPr>
        <sz val="11"/>
        <color rgb="FF242729"/>
        <rFont val="Arial"/>
        <family val="2"/>
      </rPr>
      <t> is my</t>
    </r>
  </si>
  <si>
    <r>
      <t>contributi</t>
    </r>
    <r>
      <rPr>
        <b/>
        <sz val="11"/>
        <color rgb="FF242729"/>
        <rFont val="Arial"/>
        <family val="2"/>
      </rPr>
      <t>o</t>
    </r>
    <r>
      <rPr>
        <sz val="11"/>
        <color rgb="FF242729"/>
        <rFont val="Arial"/>
        <family val="2"/>
      </rPr>
      <t>n.</t>
    </r>
  </si>
  <si>
    <t>Expanding on a classic</t>
  </si>
  <si>
    <t>enigmatic puzzle - Expanding on a classic - Puzzling Stack Exchange</t>
  </si>
  <si>
    <t>a b c      |  M A E       B G J       N H I</t>
  </si>
  <si>
    <t>d e f      |  B F D       I A D       L J K</t>
  </si>
  <si>
    <t>g h i      |  H C J       - L C       M G C</t>
  </si>
  <si>
    <t xml:space="preserve">  j k l    |    L G I       E K M       B D -</t>
  </si>
  <si>
    <t xml:space="preserve">  m n o    |    N K -       N H F       E F A</t>
  </si>
  <si>
    <t xml:space="preserve">  p q r    |    O P Q       V Y Q       S Q Z</t>
  </si>
  <si>
    <t xml:space="preserve">    s t u  |      Y W U       S T X       T V W</t>
  </si>
  <si>
    <t xml:space="preserve">    v w x  |      S Z V       W P Z       U P Y</t>
  </si>
  <si>
    <t xml:space="preserve">    y z -  |      X T R       O R U       O R X</t>
  </si>
  <si>
    <r>
      <t>To solve this puzzle, you must decrypt this: </t>
    </r>
    <r>
      <rPr>
        <sz val="10"/>
        <color rgb="FF242729"/>
        <rFont val="Consolas"/>
        <family val="3"/>
      </rPr>
      <t>XZIIORIOIACKHHGRQX</t>
    </r>
  </si>
  <si>
    <t>And give an explanation on the encryption/decryption scheme of the cipher.</t>
  </si>
  <si>
    <t>Hint 1</t>
  </si>
  <si>
    <t>It may help to visualize these cubes like so:</t>
  </si>
  <si>
    <t>Hint 2</t>
  </si>
  <si>
    <t>This cipher variation is based off of Félix Delastelle's four-square cipher</t>
  </si>
  <si>
    <t>Hint 3</t>
  </si>
  <si>
    <t>While the four-square cipher uses four 5x5 squares, if it is regular (the plaintext squares</t>
  </si>
  <si>
    <r>
      <t>are </t>
    </r>
    <r>
      <rPr>
        <sz val="10"/>
        <color rgb="FF242729"/>
        <rFont val="Consolas"/>
        <family val="3"/>
      </rPr>
      <t>a-z</t>
    </r>
    <r>
      <rPr>
        <sz val="11"/>
        <color rgb="FF242729"/>
        <rFont val="Arial"/>
        <family val="2"/>
      </rPr>
      <t> in order, skipping </t>
    </r>
    <r>
      <rPr>
        <sz val="10"/>
        <color rgb="FF242729"/>
        <rFont val="Consolas"/>
        <family val="3"/>
      </rPr>
      <t>j</t>
    </r>
    <r>
      <rPr>
        <sz val="11"/>
        <color rgb="FF242729"/>
        <rFont val="Arial"/>
        <family val="2"/>
      </rPr>
      <t>, top left to bottom right) then all that is </t>
    </r>
    <r>
      <rPr>
        <i/>
        <sz val="11"/>
        <color rgb="FF242729"/>
        <rFont val="Arial"/>
        <family val="2"/>
      </rPr>
      <t>needed</t>
    </r>
    <r>
      <rPr>
        <sz val="11"/>
        <color rgb="FF242729"/>
        <rFont val="Arial"/>
        <family val="2"/>
      </rPr>
      <t> is 3 squares.</t>
    </r>
  </si>
  <si>
    <t>The variation I created is minified using this same concept.</t>
  </si>
  <si>
    <t>Hint 4</t>
  </si>
  <si>
    <t>Lets do some analysis on the four-square cipher. This encryption scheme is typically</t>
  </si>
  <si>
    <t>represented visually, but it can also be expressed using the coordinates X and Y. For</t>
  </si>
  <si>
    <t>example, take the following four-square cipher.</t>
  </si>
  <si>
    <r>
      <t>If we were to encrypt </t>
    </r>
    <r>
      <rPr>
        <sz val="10"/>
        <color rgb="FF242729"/>
        <rFont val="Consolas"/>
        <family val="3"/>
      </rPr>
      <t>cipher</t>
    </r>
    <r>
      <rPr>
        <sz val="11"/>
        <color rgb="FF242729"/>
        <rFont val="Arial"/>
        <family val="2"/>
      </rPr>
      <t> we would first split the plaintext into the pairs </t>
    </r>
    <r>
      <rPr>
        <sz val="10"/>
        <color rgb="FF242729"/>
        <rFont val="Consolas"/>
        <family val="3"/>
      </rPr>
      <t>ci|ph|er</t>
    </r>
    <r>
      <rPr>
        <sz val="11"/>
        <color rgb="FF242729"/>
        <rFont val="Arial"/>
        <family val="2"/>
      </rPr>
      <t>,</t>
    </r>
  </si>
  <si>
    <r>
      <t>which could then be expressed as the coordinates (</t>
    </r>
    <r>
      <rPr>
        <sz val="10"/>
        <color rgb="FF242729"/>
        <rFont val="Consolas"/>
        <family val="3"/>
      </rPr>
      <t>X,Y</t>
    </r>
    <r>
      <rPr>
        <sz val="11"/>
        <color rgb="FF242729"/>
        <rFont val="Arial"/>
        <family val="2"/>
      </rPr>
      <t>) </t>
    </r>
    <r>
      <rPr>
        <sz val="10"/>
        <color rgb="FF242729"/>
        <rFont val="Consolas"/>
        <family val="3"/>
      </rPr>
      <t>3,1 4,2 | 5,3 3,2 | 5,1 2,4</t>
    </r>
    <r>
      <rPr>
        <sz val="11"/>
        <color rgb="FF242729"/>
        <rFont val="Arial"/>
        <family val="2"/>
      </rPr>
      <t>.</t>
    </r>
  </si>
  <si>
    <t>The process of encryption/decryption by visually following the rows and columns of a</t>
  </si>
  <si>
    <t>typical four-square cipher is the exact same as simply swapping the X coordinates.</t>
  </si>
  <si>
    <r>
      <t>Plaintext </t>
    </r>
    <r>
      <rPr>
        <sz val="10"/>
        <color rgb="FF242729"/>
        <rFont val="Consolas"/>
        <family val="3"/>
      </rPr>
      <t>3,1 4,2</t>
    </r>
    <r>
      <rPr>
        <sz val="11"/>
        <color rgb="FF242729"/>
        <rFont val="Arial"/>
        <family val="2"/>
      </rPr>
      <t> becomes the ciphertext </t>
    </r>
    <r>
      <rPr>
        <sz val="10"/>
        <color rgb="FF242729"/>
        <rFont val="Consolas"/>
        <family val="3"/>
      </rPr>
      <t>4,1 3,2</t>
    </r>
    <r>
      <rPr>
        <sz val="11"/>
        <color rgb="FF242729"/>
        <rFont val="Arial"/>
        <family val="2"/>
      </rPr>
      <t>. The full ciphertext is therefore</t>
    </r>
  </si>
  <si>
    <t>HROWRZ</t>
  </si>
  <si>
    <t>Breaking down the four-square cipher like this makes it much easier to extend the scheme</t>
  </si>
  <si>
    <t>to use 3 coordinates: X,Y,Z. However, with 3 coordinates you can't just swap. You'll have to</t>
  </si>
  <si>
    <t>use some form of rotation ;)</t>
  </si>
  <si>
    <t>Sxzpxkdf-vj-enrfhjliyshjklcgaymptukOqhkbhcix-mrruiriczybtubrsxz</t>
  </si>
  <si>
    <t>ABECEDARIO A UTILIZAR</t>
  </si>
  <si>
    <t>ALFABETO A UTILIZAR</t>
  </si>
  <si>
    <t>INGRESE TEXTO PLANO A CIFRAR (NO ESPACIOS, NO NUMEROS NI SIMBOLOS EXCEPTO EL DETALLADO EN EL ABECEDARIO A UTILIZAR)</t>
  </si>
  <si>
    <t>Cifrado originalmente propuesto por el usuario ExecutionByFork en puzzling.stackexchange.com</t>
  </si>
  <si>
    <t>Clave Cuadro 1</t>
  </si>
  <si>
    <t>Clave Cuadro 2</t>
  </si>
  <si>
    <t>Clave Cuadro 3</t>
  </si>
  <si>
    <t>ABCDEFGHIJKLMNOPQRSTUVWXYZ-</t>
  </si>
  <si>
    <t>MAEBFDHCJLGINK-OPQYWUSZVXTR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</si>
</sst>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242729"/>
      <name val="Consolas"/>
      <family val="3"/>
    </font>
    <font>
      <b/>
      <sz val="11"/>
      <color theme="0" tint="-4.9989318521683403E-2"/>
      <name val="Calibri"/>
      <family val="2"/>
      <scheme val="minor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sz val="11"/>
      <color rgb="FF242729"/>
      <name val="Arial"/>
      <family val="2"/>
    </font>
    <font>
      <b/>
      <sz val="11"/>
      <color rgb="FF242729"/>
      <name val="Arial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onsolas"/>
      <family val="3"/>
    </font>
    <font>
      <i/>
      <sz val="11"/>
      <color rgb="FF242729"/>
      <name val="Arial"/>
      <family val="2"/>
    </font>
    <font>
      <b/>
      <sz val="10"/>
      <color theme="1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2">
    <xf numFmtId="0" fontId="0" fillId="0" borderId="0" xfId="0"/>
    <xf numFmtId="0" fontId="3" fillId="0" borderId="0" xfId="0" applyFont="1"/>
    <xf numFmtId="0" fontId="0" fillId="0" borderId="0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0" borderId="2" xfId="0" applyBorder="1"/>
    <xf numFmtId="0" fontId="1" fillId="6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/>
    <xf numFmtId="0" fontId="0" fillId="6" borderId="2" xfId="0" applyFill="1" applyBorder="1"/>
    <xf numFmtId="0" fontId="0" fillId="6" borderId="2" xfId="0" applyFill="1" applyBorder="1" applyAlignment="1">
      <alignment horizontal="center"/>
    </xf>
    <xf numFmtId="0" fontId="0" fillId="6" borderId="0" xfId="0" applyFill="1" applyBorder="1"/>
    <xf numFmtId="0" fontId="0" fillId="6" borderId="0" xfId="0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2" xfId="0" applyFill="1" applyBorder="1"/>
    <xf numFmtId="0" fontId="0" fillId="4" borderId="2" xfId="0" applyFill="1" applyBorder="1" applyAlignment="1">
      <alignment horizontal="center"/>
    </xf>
    <xf numFmtId="0" fontId="0" fillId="4" borderId="0" xfId="0" applyFill="1" applyBorder="1"/>
    <xf numFmtId="0" fontId="0" fillId="4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/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0" fontId="4" fillId="7" borderId="0" xfId="0" applyFont="1" applyFill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Protection="1"/>
    <xf numFmtId="0" fontId="0" fillId="4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1" fillId="9" borderId="0" xfId="0" applyFont="1" applyFill="1" applyAlignment="1">
      <alignment horizontal="center" vertical="center"/>
    </xf>
    <xf numFmtId="0" fontId="1" fillId="9" borderId="0" xfId="0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vertical="center"/>
    </xf>
    <xf numFmtId="0" fontId="7" fillId="0" borderId="0" xfId="0" applyFont="1"/>
    <xf numFmtId="0" fontId="8" fillId="0" borderId="0" xfId="0" applyFont="1"/>
    <xf numFmtId="0" fontId="10" fillId="0" borderId="0" xfId="0" applyFont="1"/>
    <xf numFmtId="0" fontId="9" fillId="0" borderId="0" xfId="1"/>
    <xf numFmtId="0" fontId="11" fillId="0" borderId="0" xfId="0" applyFont="1" applyAlignment="1">
      <alignment horizontal="left" vertical="center" indent="1"/>
    </xf>
    <xf numFmtId="0" fontId="13" fillId="0" borderId="0" xfId="0" applyFont="1" applyAlignment="1">
      <alignment vertical="center"/>
    </xf>
    <xf numFmtId="0" fontId="1" fillId="0" borderId="1" xfId="0" applyFon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6" fillId="7" borderId="0" xfId="0" applyFont="1" applyFill="1" applyAlignment="1">
      <alignment horizontal="left" vertical="center"/>
    </xf>
    <xf numFmtId="0" fontId="1" fillId="9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0" fillId="0" borderId="0" xfId="0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28576</xdr:colOff>
      <xdr:row>7</xdr:row>
      <xdr:rowOff>161925</xdr:rowOff>
    </xdr:from>
    <xdr:to>
      <xdr:col>18</xdr:col>
      <xdr:colOff>9526</xdr:colOff>
      <xdr:row>9</xdr:row>
      <xdr:rowOff>9525</xdr:rowOff>
    </xdr:to>
    <xdr:sp macro="" textlink="">
      <xdr:nvSpPr>
        <xdr:cNvPr id="6" name="Flecha: hacia la izquierda 5">
          <a:extLst>
            <a:ext uri="{FF2B5EF4-FFF2-40B4-BE49-F238E27FC236}">
              <a16:creationId xmlns:a16="http://schemas.microsoft.com/office/drawing/2014/main" id="{5E3A12B7-2743-4081-AF39-E21ECF248A77}"/>
            </a:ext>
          </a:extLst>
        </xdr:cNvPr>
        <xdr:cNvSpPr/>
      </xdr:nvSpPr>
      <xdr:spPr>
        <a:xfrm>
          <a:off x="4838701" y="1447800"/>
          <a:ext cx="723900" cy="276225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28575</xdr:colOff>
      <xdr:row>11</xdr:row>
      <xdr:rowOff>171450</xdr:rowOff>
    </xdr:from>
    <xdr:to>
      <xdr:col>18</xdr:col>
      <xdr:colOff>0</xdr:colOff>
      <xdr:row>13</xdr:row>
      <xdr:rowOff>19050</xdr:rowOff>
    </xdr:to>
    <xdr:sp macro="" textlink="">
      <xdr:nvSpPr>
        <xdr:cNvPr id="7" name="Flecha: hacia la izquierda 6">
          <a:extLst>
            <a:ext uri="{FF2B5EF4-FFF2-40B4-BE49-F238E27FC236}">
              <a16:creationId xmlns:a16="http://schemas.microsoft.com/office/drawing/2014/main" id="{4989D1A7-D870-4373-82CD-12344D893F28}"/>
            </a:ext>
          </a:extLst>
        </xdr:cNvPr>
        <xdr:cNvSpPr/>
      </xdr:nvSpPr>
      <xdr:spPr>
        <a:xfrm>
          <a:off x="4838700" y="2266950"/>
          <a:ext cx="714375" cy="276225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28575</xdr:colOff>
      <xdr:row>15</xdr:row>
      <xdr:rowOff>180975</xdr:rowOff>
    </xdr:from>
    <xdr:to>
      <xdr:col>18</xdr:col>
      <xdr:colOff>0</xdr:colOff>
      <xdr:row>17</xdr:row>
      <xdr:rowOff>28575</xdr:rowOff>
    </xdr:to>
    <xdr:sp macro="" textlink="">
      <xdr:nvSpPr>
        <xdr:cNvPr id="8" name="Flecha: hacia la izquierda 7">
          <a:extLst>
            <a:ext uri="{FF2B5EF4-FFF2-40B4-BE49-F238E27FC236}">
              <a16:creationId xmlns:a16="http://schemas.microsoft.com/office/drawing/2014/main" id="{AD1B3239-2413-49BD-AB47-7BF50C8AEE92}"/>
            </a:ext>
          </a:extLst>
        </xdr:cNvPr>
        <xdr:cNvSpPr/>
      </xdr:nvSpPr>
      <xdr:spPr>
        <a:xfrm>
          <a:off x="4838700" y="3086100"/>
          <a:ext cx="714375" cy="276225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47625</xdr:colOff>
      <xdr:row>3</xdr:row>
      <xdr:rowOff>19051</xdr:rowOff>
    </xdr:from>
    <xdr:to>
      <xdr:col>18</xdr:col>
      <xdr:colOff>0</xdr:colOff>
      <xdr:row>3</xdr:row>
      <xdr:rowOff>228601</xdr:rowOff>
    </xdr:to>
    <xdr:sp macro="" textlink="">
      <xdr:nvSpPr>
        <xdr:cNvPr id="9" name="Flecha: hacia la izquierda 8">
          <a:extLst>
            <a:ext uri="{FF2B5EF4-FFF2-40B4-BE49-F238E27FC236}">
              <a16:creationId xmlns:a16="http://schemas.microsoft.com/office/drawing/2014/main" id="{B5160FC5-C517-4ED1-856C-2B02B08E349C}"/>
            </a:ext>
          </a:extLst>
        </xdr:cNvPr>
        <xdr:cNvSpPr/>
      </xdr:nvSpPr>
      <xdr:spPr>
        <a:xfrm>
          <a:off x="5105400" y="400051"/>
          <a:ext cx="447675" cy="2095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47625</xdr:colOff>
      <xdr:row>4</xdr:row>
      <xdr:rowOff>0</xdr:rowOff>
    </xdr:from>
    <xdr:to>
      <xdr:col>18</xdr:col>
      <xdr:colOff>0</xdr:colOff>
      <xdr:row>4</xdr:row>
      <xdr:rowOff>209550</xdr:rowOff>
    </xdr:to>
    <xdr:sp macro="" textlink="">
      <xdr:nvSpPr>
        <xdr:cNvPr id="12" name="Flecha: hacia la izquierda 11">
          <a:extLst>
            <a:ext uri="{FF2B5EF4-FFF2-40B4-BE49-F238E27FC236}">
              <a16:creationId xmlns:a16="http://schemas.microsoft.com/office/drawing/2014/main" id="{5FCAF7A6-2812-4DDC-8F11-344863BD9B3F}"/>
            </a:ext>
          </a:extLst>
        </xdr:cNvPr>
        <xdr:cNvSpPr/>
      </xdr:nvSpPr>
      <xdr:spPr>
        <a:xfrm>
          <a:off x="5105400" y="619125"/>
          <a:ext cx="447675" cy="2095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47625</xdr:colOff>
      <xdr:row>5</xdr:row>
      <xdr:rowOff>0</xdr:rowOff>
    </xdr:from>
    <xdr:to>
      <xdr:col>18</xdr:col>
      <xdr:colOff>0</xdr:colOff>
      <xdr:row>5</xdr:row>
      <xdr:rowOff>209550</xdr:rowOff>
    </xdr:to>
    <xdr:sp macro="" textlink="">
      <xdr:nvSpPr>
        <xdr:cNvPr id="13" name="Flecha: hacia la izquierda 12">
          <a:extLst>
            <a:ext uri="{FF2B5EF4-FFF2-40B4-BE49-F238E27FC236}">
              <a16:creationId xmlns:a16="http://schemas.microsoft.com/office/drawing/2014/main" id="{332074D5-702D-4522-B5DA-8BFEE6B8DBEE}"/>
            </a:ext>
          </a:extLst>
        </xdr:cNvPr>
        <xdr:cNvSpPr/>
      </xdr:nvSpPr>
      <xdr:spPr>
        <a:xfrm>
          <a:off x="5105400" y="857250"/>
          <a:ext cx="447675" cy="2095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9525</xdr:colOff>
      <xdr:row>20</xdr:row>
      <xdr:rowOff>0</xdr:rowOff>
    </xdr:from>
    <xdr:to>
      <xdr:col>17</xdr:col>
      <xdr:colOff>209550</xdr:colOff>
      <xdr:row>21</xdr:row>
      <xdr:rowOff>19050</xdr:rowOff>
    </xdr:to>
    <xdr:sp macro="" textlink="">
      <xdr:nvSpPr>
        <xdr:cNvPr id="14" name="Flecha: hacia la izquierda 13">
          <a:extLst>
            <a:ext uri="{FF2B5EF4-FFF2-40B4-BE49-F238E27FC236}">
              <a16:creationId xmlns:a16="http://schemas.microsoft.com/office/drawing/2014/main" id="{BE2D6C9A-ABB8-4DC1-9DA9-81B266D3870D}"/>
            </a:ext>
          </a:extLst>
        </xdr:cNvPr>
        <xdr:cNvSpPr/>
      </xdr:nvSpPr>
      <xdr:spPr>
        <a:xfrm rot="10800000">
          <a:off x="5067300" y="3952875"/>
          <a:ext cx="447675" cy="2095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9525</xdr:colOff>
      <xdr:row>24</xdr:row>
      <xdr:rowOff>0</xdr:rowOff>
    </xdr:from>
    <xdr:to>
      <xdr:col>17</xdr:col>
      <xdr:colOff>209550</xdr:colOff>
      <xdr:row>25</xdr:row>
      <xdr:rowOff>19050</xdr:rowOff>
    </xdr:to>
    <xdr:sp macro="" textlink="">
      <xdr:nvSpPr>
        <xdr:cNvPr id="15" name="Flecha: hacia la izquierda 14">
          <a:extLst>
            <a:ext uri="{FF2B5EF4-FFF2-40B4-BE49-F238E27FC236}">
              <a16:creationId xmlns:a16="http://schemas.microsoft.com/office/drawing/2014/main" id="{FDBE01FE-0F95-405A-B847-1BFABA2AE624}"/>
            </a:ext>
          </a:extLst>
        </xdr:cNvPr>
        <xdr:cNvSpPr/>
      </xdr:nvSpPr>
      <xdr:spPr>
        <a:xfrm rot="10800000">
          <a:off x="5067300" y="4762500"/>
          <a:ext cx="447675" cy="2095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9525</xdr:colOff>
      <xdr:row>24</xdr:row>
      <xdr:rowOff>0</xdr:rowOff>
    </xdr:from>
    <xdr:to>
      <xdr:col>17</xdr:col>
      <xdr:colOff>209550</xdr:colOff>
      <xdr:row>25</xdr:row>
      <xdr:rowOff>19050</xdr:rowOff>
    </xdr:to>
    <xdr:sp macro="" textlink="">
      <xdr:nvSpPr>
        <xdr:cNvPr id="16" name="Flecha: hacia la izquierda 15">
          <a:extLst>
            <a:ext uri="{FF2B5EF4-FFF2-40B4-BE49-F238E27FC236}">
              <a16:creationId xmlns:a16="http://schemas.microsoft.com/office/drawing/2014/main" id="{F4F861B1-F84C-48C5-B368-2173799928D5}"/>
            </a:ext>
          </a:extLst>
        </xdr:cNvPr>
        <xdr:cNvSpPr/>
      </xdr:nvSpPr>
      <xdr:spPr>
        <a:xfrm rot="10800000">
          <a:off x="5067300" y="3952875"/>
          <a:ext cx="447675" cy="2095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0</xdr:row>
      <xdr:rowOff>200025</xdr:rowOff>
    </xdr:from>
    <xdr:to>
      <xdr:col>17</xdr:col>
      <xdr:colOff>228600</xdr:colOff>
      <xdr:row>2</xdr:row>
      <xdr:rowOff>47625</xdr:rowOff>
    </xdr:to>
    <xdr:sp macro="" textlink="">
      <xdr:nvSpPr>
        <xdr:cNvPr id="11" name="Flecha: hacia la izquierda 10">
          <a:extLst>
            <a:ext uri="{FF2B5EF4-FFF2-40B4-BE49-F238E27FC236}">
              <a16:creationId xmlns:a16="http://schemas.microsoft.com/office/drawing/2014/main" id="{28F9D94F-F6F3-45D9-A3D0-9882F2EF6833}"/>
            </a:ext>
          </a:extLst>
        </xdr:cNvPr>
        <xdr:cNvSpPr/>
      </xdr:nvSpPr>
      <xdr:spPr>
        <a:xfrm>
          <a:off x="6276975" y="200025"/>
          <a:ext cx="723900" cy="3429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31</xdr:row>
      <xdr:rowOff>28575</xdr:rowOff>
    </xdr:from>
    <xdr:to>
      <xdr:col>2</xdr:col>
      <xdr:colOff>390525</xdr:colOff>
      <xdr:row>42</xdr:row>
      <xdr:rowOff>19050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E79F574-1D04-40FF-B141-D4C656F493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5981700"/>
          <a:ext cx="1143000" cy="2085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56</xdr:row>
      <xdr:rowOff>0</xdr:rowOff>
    </xdr:from>
    <xdr:to>
      <xdr:col>5</xdr:col>
      <xdr:colOff>161925</xdr:colOff>
      <xdr:row>62</xdr:row>
      <xdr:rowOff>66675</xdr:rowOff>
    </xdr:to>
    <xdr:pic>
      <xdr:nvPicPr>
        <xdr:cNvPr id="3" name="Imagen 2" descr="enter image description here">
          <a:extLst>
            <a:ext uri="{FF2B5EF4-FFF2-40B4-BE49-F238E27FC236}">
              <a16:creationId xmlns:a16="http://schemas.microsoft.com/office/drawing/2014/main" id="{4BABBC0A-9C96-43CB-9ED9-9205851C82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0715625"/>
          <a:ext cx="3171825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uzzling.stackexchange.com/questions/105719/expanding-on-a-classi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B67A-FFBB-4E67-A587-D026299145E3}">
  <sheetPr codeName="Hoja5"/>
  <dimension ref="A1:AT26"/>
  <sheetViews>
    <sheetView tabSelected="1" workbookViewId="0">
      <selection activeCell="O10" sqref="O10"/>
    </sheetView>
  </sheetViews>
  <sheetFormatPr baseColWidth="10" defaultColWidth="3.7109375" defaultRowHeight="20.100000000000001" customHeight="1" x14ac:dyDescent="0.25"/>
  <cols>
    <col min="1" max="13" width="4.28515625" style="49" customWidth="1"/>
    <col min="14" max="14" width="3.7109375" style="49"/>
    <col min="15" max="15" width="34.7109375" style="49" customWidth="1"/>
    <col min="16" max="16" width="3.7109375" style="50"/>
    <col min="17" max="18" width="3.7109375" style="49"/>
    <col min="19" max="19" width="24.28515625" style="49" bestFit="1" customWidth="1"/>
    <col min="20" max="16384" width="3.7109375" style="49"/>
  </cols>
  <sheetData>
    <row r="1" spans="1:19" ht="20.100000000000001" customHeight="1" x14ac:dyDescent="0.25">
      <c r="A1" s="43"/>
      <c r="B1" s="69">
        <v>1</v>
      </c>
      <c r="C1" s="69"/>
      <c r="D1" s="69"/>
      <c r="E1" s="43"/>
      <c r="F1" s="69">
        <v>2</v>
      </c>
      <c r="G1" s="69"/>
      <c r="H1" s="69"/>
      <c r="I1" s="43"/>
      <c r="J1" s="69">
        <v>3</v>
      </c>
      <c r="K1" s="69"/>
      <c r="L1" s="69"/>
      <c r="M1" s="44"/>
      <c r="O1" s="55" t="s">
        <v>92</v>
      </c>
    </row>
    <row r="2" spans="1:19" ht="20.100000000000001" customHeight="1" x14ac:dyDescent="0.25">
      <c r="A2" s="43"/>
      <c r="B2" s="43">
        <v>1</v>
      </c>
      <c r="C2" s="43">
        <v>2</v>
      </c>
      <c r="D2" s="43">
        <v>3</v>
      </c>
      <c r="E2" s="43"/>
      <c r="F2" s="43">
        <v>1</v>
      </c>
      <c r="G2" s="43">
        <v>2</v>
      </c>
      <c r="H2" s="43">
        <v>3</v>
      </c>
      <c r="I2" s="43"/>
      <c r="J2" s="43">
        <v>1</v>
      </c>
      <c r="K2" s="43">
        <v>2</v>
      </c>
      <c r="L2" s="43">
        <v>3</v>
      </c>
      <c r="M2" s="44"/>
      <c r="O2" s="62" t="s">
        <v>99</v>
      </c>
      <c r="S2" s="61" t="s">
        <v>93</v>
      </c>
    </row>
    <row r="3" spans="1:19" ht="20.100000000000001" customHeight="1" x14ac:dyDescent="0.25">
      <c r="A3" s="43">
        <v>1</v>
      </c>
      <c r="B3" s="45" t="s">
        <v>4</v>
      </c>
      <c r="C3" s="45" t="s">
        <v>5</v>
      </c>
      <c r="D3" s="45" t="s">
        <v>6</v>
      </c>
      <c r="E3" s="43">
        <v>1</v>
      </c>
      <c r="F3" s="45" t="s">
        <v>12</v>
      </c>
      <c r="G3" s="45" t="s">
        <v>17</v>
      </c>
      <c r="H3" s="45" t="s">
        <v>13</v>
      </c>
      <c r="I3" s="43">
        <v>1</v>
      </c>
      <c r="J3" s="45" t="s">
        <v>24</v>
      </c>
      <c r="K3" s="45" t="s">
        <v>28</v>
      </c>
      <c r="L3" s="45" t="s">
        <v>23</v>
      </c>
      <c r="M3" s="44"/>
    </row>
    <row r="4" spans="1:19" ht="20.100000000000001" customHeight="1" x14ac:dyDescent="0.25">
      <c r="A4" s="43">
        <v>2</v>
      </c>
      <c r="B4" s="45" t="s">
        <v>10</v>
      </c>
      <c r="C4" s="45" t="s">
        <v>8</v>
      </c>
      <c r="D4" s="45" t="s">
        <v>9</v>
      </c>
      <c r="E4" s="43">
        <v>2</v>
      </c>
      <c r="F4" s="45" t="s">
        <v>7</v>
      </c>
      <c r="G4" s="45" t="s">
        <v>16</v>
      </c>
      <c r="H4" s="45" t="s">
        <v>18</v>
      </c>
      <c r="I4" s="43">
        <v>2</v>
      </c>
      <c r="J4" s="45" t="s">
        <v>26</v>
      </c>
      <c r="K4" s="45" t="s">
        <v>22</v>
      </c>
      <c r="L4" s="45" t="s">
        <v>27</v>
      </c>
      <c r="M4" s="44"/>
      <c r="O4" s="55" t="s">
        <v>35</v>
      </c>
      <c r="P4" s="63">
        <v>0</v>
      </c>
      <c r="S4" s="61" t="s">
        <v>39</v>
      </c>
    </row>
    <row r="5" spans="1:19" ht="20.100000000000001" customHeight="1" x14ac:dyDescent="0.25">
      <c r="A5" s="43">
        <v>3</v>
      </c>
      <c r="B5" s="45" t="s">
        <v>14</v>
      </c>
      <c r="C5" s="45" t="s">
        <v>11</v>
      </c>
      <c r="D5" s="45" t="s">
        <v>15</v>
      </c>
      <c r="E5" s="43">
        <v>3</v>
      </c>
      <c r="F5" s="45" t="s">
        <v>19</v>
      </c>
      <c r="G5" s="45" t="s">
        <v>20</v>
      </c>
      <c r="H5" s="45" t="s">
        <v>29</v>
      </c>
      <c r="I5" s="43">
        <v>3</v>
      </c>
      <c r="J5" s="45" t="s">
        <v>21</v>
      </c>
      <c r="K5" s="45" t="s">
        <v>25</v>
      </c>
      <c r="L5" s="45" t="s">
        <v>3</v>
      </c>
      <c r="M5" s="44"/>
      <c r="O5" s="55" t="s">
        <v>36</v>
      </c>
      <c r="P5" s="63">
        <v>1</v>
      </c>
      <c r="S5" s="61" t="s">
        <v>39</v>
      </c>
    </row>
    <row r="6" spans="1:19" ht="20.100000000000001" customHeight="1" x14ac:dyDescent="0.25">
      <c r="A6" s="43"/>
      <c r="B6" s="43">
        <v>1</v>
      </c>
      <c r="C6" s="43">
        <v>2</v>
      </c>
      <c r="D6" s="43">
        <v>3</v>
      </c>
      <c r="E6" s="43"/>
      <c r="F6" s="43">
        <v>1</v>
      </c>
      <c r="G6" s="43">
        <v>2</v>
      </c>
      <c r="H6" s="43">
        <v>3</v>
      </c>
      <c r="I6" s="43"/>
      <c r="J6" s="43">
        <v>1</v>
      </c>
      <c r="K6" s="43">
        <v>2</v>
      </c>
      <c r="L6" s="43">
        <v>3</v>
      </c>
      <c r="M6" s="44"/>
      <c r="O6" s="55" t="s">
        <v>37</v>
      </c>
      <c r="P6" s="63">
        <v>2</v>
      </c>
      <c r="S6" s="61" t="s">
        <v>39</v>
      </c>
    </row>
    <row r="7" spans="1:19" ht="20.100000000000001" customHeight="1" x14ac:dyDescent="0.25">
      <c r="A7" s="43">
        <v>1</v>
      </c>
      <c r="B7" s="46" t="s">
        <v>7</v>
      </c>
      <c r="C7" s="46" t="s">
        <v>4</v>
      </c>
      <c r="D7" s="46" t="s">
        <v>8</v>
      </c>
      <c r="E7" s="43">
        <v>1</v>
      </c>
      <c r="F7" s="46" t="s">
        <v>13</v>
      </c>
      <c r="G7" s="46" t="s">
        <v>14</v>
      </c>
      <c r="H7" s="46" t="s">
        <v>15</v>
      </c>
      <c r="I7" s="43">
        <v>1</v>
      </c>
      <c r="J7" s="46" t="s">
        <v>21</v>
      </c>
      <c r="K7" s="46" t="s">
        <v>22</v>
      </c>
      <c r="L7" s="46" t="s">
        <v>23</v>
      </c>
      <c r="M7" s="44"/>
    </row>
    <row r="8" spans="1:19" ht="20.100000000000001" customHeight="1" x14ac:dyDescent="0.25">
      <c r="A8" s="43">
        <v>2</v>
      </c>
      <c r="B8" s="46" t="s">
        <v>5</v>
      </c>
      <c r="C8" s="46" t="s">
        <v>9</v>
      </c>
      <c r="D8" s="46" t="s">
        <v>10</v>
      </c>
      <c r="E8" s="43">
        <v>2</v>
      </c>
      <c r="F8" s="46" t="s">
        <v>16</v>
      </c>
      <c r="G8" s="46" t="s">
        <v>17</v>
      </c>
      <c r="H8" s="46" t="s">
        <v>3</v>
      </c>
      <c r="I8" s="43">
        <v>2</v>
      </c>
      <c r="J8" s="46" t="s">
        <v>24</v>
      </c>
      <c r="K8" s="46" t="s">
        <v>25</v>
      </c>
      <c r="L8" s="46" t="s">
        <v>26</v>
      </c>
      <c r="M8" s="44"/>
      <c r="O8" s="52" t="s">
        <v>96</v>
      </c>
    </row>
    <row r="9" spans="1:19" ht="20.100000000000001" customHeight="1" x14ac:dyDescent="0.25">
      <c r="A9" s="43">
        <v>3</v>
      </c>
      <c r="B9" s="46" t="s">
        <v>11</v>
      </c>
      <c r="C9" s="46" t="s">
        <v>6</v>
      </c>
      <c r="D9" s="46" t="s">
        <v>12</v>
      </c>
      <c r="E9" s="43">
        <v>3</v>
      </c>
      <c r="F9" s="46" t="s">
        <v>18</v>
      </c>
      <c r="G9" s="46" t="s">
        <v>19</v>
      </c>
      <c r="H9" s="46" t="s">
        <v>20</v>
      </c>
      <c r="I9" s="43">
        <v>3</v>
      </c>
      <c r="J9" s="46" t="s">
        <v>27</v>
      </c>
      <c r="K9" s="46" t="s">
        <v>28</v>
      </c>
      <c r="L9" s="46" t="s">
        <v>29</v>
      </c>
      <c r="M9" s="44"/>
      <c r="O9" s="64" t="s">
        <v>100</v>
      </c>
      <c r="S9" s="61" t="s">
        <v>40</v>
      </c>
    </row>
    <row r="10" spans="1:19" ht="20.100000000000001" customHeight="1" x14ac:dyDescent="0.25">
      <c r="A10" s="43"/>
      <c r="B10" s="43">
        <v>1</v>
      </c>
      <c r="C10" s="43">
        <v>2</v>
      </c>
      <c r="D10" s="43">
        <v>3</v>
      </c>
      <c r="E10" s="43"/>
      <c r="F10" s="43">
        <v>1</v>
      </c>
      <c r="G10" s="43">
        <v>2</v>
      </c>
      <c r="H10" s="43">
        <v>3</v>
      </c>
      <c r="I10" s="43"/>
      <c r="J10" s="43">
        <v>1</v>
      </c>
      <c r="K10" s="43">
        <v>2</v>
      </c>
      <c r="L10" s="43">
        <v>3</v>
      </c>
      <c r="M10" s="44"/>
      <c r="O10" s="51"/>
    </row>
    <row r="11" spans="1:19" ht="20.100000000000001" customHeight="1" x14ac:dyDescent="0.25">
      <c r="A11" s="43">
        <v>1</v>
      </c>
      <c r="B11" s="47" t="s">
        <v>5</v>
      </c>
      <c r="C11" s="47" t="s">
        <v>14</v>
      </c>
      <c r="D11" s="47" t="s">
        <v>12</v>
      </c>
      <c r="E11" s="43">
        <v>1</v>
      </c>
      <c r="F11" s="47" t="s">
        <v>8</v>
      </c>
      <c r="G11" s="47" t="s">
        <v>17</v>
      </c>
      <c r="H11" s="47" t="s">
        <v>7</v>
      </c>
      <c r="I11" s="43">
        <v>1</v>
      </c>
      <c r="J11" s="47" t="s">
        <v>24</v>
      </c>
      <c r="K11" s="47" t="s">
        <v>28</v>
      </c>
      <c r="L11" s="47" t="s">
        <v>27</v>
      </c>
      <c r="M11" s="44"/>
      <c r="O11" s="51"/>
    </row>
    <row r="12" spans="1:19" ht="20.100000000000001" customHeight="1" x14ac:dyDescent="0.25">
      <c r="A12" s="43">
        <v>2</v>
      </c>
      <c r="B12" s="47" t="s">
        <v>15</v>
      </c>
      <c r="C12" s="47" t="s">
        <v>4</v>
      </c>
      <c r="D12" s="47" t="s">
        <v>10</v>
      </c>
      <c r="E12" s="43">
        <v>2</v>
      </c>
      <c r="F12" s="47" t="s">
        <v>16</v>
      </c>
      <c r="G12" s="47" t="s">
        <v>11</v>
      </c>
      <c r="H12" s="47" t="s">
        <v>9</v>
      </c>
      <c r="I12" s="43">
        <v>2</v>
      </c>
      <c r="J12" s="47" t="s">
        <v>22</v>
      </c>
      <c r="K12" s="47" t="s">
        <v>19</v>
      </c>
      <c r="L12" s="47" t="s">
        <v>25</v>
      </c>
      <c r="M12" s="44"/>
      <c r="O12" s="53" t="s">
        <v>97</v>
      </c>
    </row>
    <row r="13" spans="1:19" ht="20.100000000000001" customHeight="1" x14ac:dyDescent="0.25">
      <c r="A13" s="43">
        <v>3</v>
      </c>
      <c r="B13" s="47" t="s">
        <v>3</v>
      </c>
      <c r="C13" s="47" t="s">
        <v>13</v>
      </c>
      <c r="D13" s="47" t="s">
        <v>6</v>
      </c>
      <c r="E13" s="43">
        <v>3</v>
      </c>
      <c r="F13" s="47" t="s">
        <v>26</v>
      </c>
      <c r="G13" s="47" t="s">
        <v>21</v>
      </c>
      <c r="H13" s="47" t="s">
        <v>20</v>
      </c>
      <c r="I13" s="43">
        <v>3</v>
      </c>
      <c r="J13" s="47" t="s">
        <v>18</v>
      </c>
      <c r="K13" s="47" t="s">
        <v>29</v>
      </c>
      <c r="L13" s="47" t="s">
        <v>23</v>
      </c>
      <c r="M13" s="44"/>
      <c r="O13" s="65" t="s">
        <v>46</v>
      </c>
      <c r="S13" s="61" t="s">
        <v>41</v>
      </c>
    </row>
    <row r="14" spans="1:19" ht="20.100000000000001" customHeight="1" x14ac:dyDescent="0.25">
      <c r="A14" s="43"/>
      <c r="B14" s="43">
        <v>1</v>
      </c>
      <c r="C14" s="43">
        <v>2</v>
      </c>
      <c r="D14" s="43">
        <v>3</v>
      </c>
      <c r="E14" s="43"/>
      <c r="F14" s="43">
        <v>1</v>
      </c>
      <c r="G14" s="43">
        <v>2</v>
      </c>
      <c r="H14" s="43">
        <v>3</v>
      </c>
      <c r="I14" s="43"/>
      <c r="J14" s="43">
        <v>1</v>
      </c>
      <c r="K14" s="43">
        <v>2</v>
      </c>
      <c r="L14" s="43">
        <v>3</v>
      </c>
      <c r="M14" s="44"/>
      <c r="O14" s="51"/>
    </row>
    <row r="15" spans="1:19" ht="20.100000000000001" customHeight="1" x14ac:dyDescent="0.25">
      <c r="A15" s="43">
        <v>1</v>
      </c>
      <c r="B15" s="48" t="s">
        <v>16</v>
      </c>
      <c r="C15" s="48" t="s">
        <v>11</v>
      </c>
      <c r="D15" s="48" t="s">
        <v>15</v>
      </c>
      <c r="E15" s="43">
        <v>1</v>
      </c>
      <c r="F15" s="48" t="s">
        <v>5</v>
      </c>
      <c r="G15" s="48" t="s">
        <v>10</v>
      </c>
      <c r="H15" s="48" t="s">
        <v>3</v>
      </c>
      <c r="I15" s="43">
        <v>1</v>
      </c>
      <c r="J15" s="48" t="s">
        <v>28</v>
      </c>
      <c r="K15" s="48" t="s">
        <v>26</v>
      </c>
      <c r="L15" s="48" t="s">
        <v>22</v>
      </c>
      <c r="M15" s="44"/>
      <c r="O15" s="51"/>
    </row>
    <row r="16" spans="1:19" ht="20.100000000000001" customHeight="1" x14ac:dyDescent="0.25">
      <c r="A16" s="43">
        <v>2</v>
      </c>
      <c r="B16" s="48" t="s">
        <v>13</v>
      </c>
      <c r="C16" s="48" t="s">
        <v>12</v>
      </c>
      <c r="D16" s="48" t="s">
        <v>17</v>
      </c>
      <c r="E16" s="43">
        <v>2</v>
      </c>
      <c r="F16" s="48" t="s">
        <v>8</v>
      </c>
      <c r="G16" s="48" t="s">
        <v>9</v>
      </c>
      <c r="H16" s="48" t="s">
        <v>4</v>
      </c>
      <c r="I16" s="43">
        <v>2</v>
      </c>
      <c r="J16" s="48" t="s">
        <v>23</v>
      </c>
      <c r="K16" s="48" t="s">
        <v>19</v>
      </c>
      <c r="L16" s="48" t="s">
        <v>21</v>
      </c>
      <c r="M16" s="44"/>
      <c r="O16" s="54" t="s">
        <v>98</v>
      </c>
    </row>
    <row r="17" spans="1:46" ht="20.100000000000001" customHeight="1" x14ac:dyDescent="0.25">
      <c r="A17" s="43">
        <v>3</v>
      </c>
      <c r="B17" s="48" t="s">
        <v>7</v>
      </c>
      <c r="C17" s="48" t="s">
        <v>14</v>
      </c>
      <c r="D17" s="48" t="s">
        <v>6</v>
      </c>
      <c r="E17" s="43">
        <v>3</v>
      </c>
      <c r="F17" s="48" t="s">
        <v>24</v>
      </c>
      <c r="G17" s="48" t="s">
        <v>20</v>
      </c>
      <c r="H17" s="48" t="s">
        <v>25</v>
      </c>
      <c r="I17" s="43">
        <v>3</v>
      </c>
      <c r="J17" s="48" t="s">
        <v>18</v>
      </c>
      <c r="K17" s="48" t="s">
        <v>29</v>
      </c>
      <c r="L17" s="48" t="s">
        <v>27</v>
      </c>
      <c r="M17" s="44"/>
      <c r="O17" s="66" t="s">
        <v>47</v>
      </c>
      <c r="S17" s="61" t="s">
        <v>42</v>
      </c>
    </row>
    <row r="18" spans="1:46" ht="20.100000000000001" customHeight="1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</row>
    <row r="20" spans="1:46" ht="20.100000000000001" customHeight="1" x14ac:dyDescent="0.25">
      <c r="S20" s="61" t="s">
        <v>94</v>
      </c>
    </row>
    <row r="21" spans="1:46" ht="20.100000000000001" customHeight="1" x14ac:dyDescent="0.25">
      <c r="S21" s="67" t="s">
        <v>34</v>
      </c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67"/>
      <c r="AO21" s="67"/>
      <c r="AP21" s="67"/>
      <c r="AQ21" s="67"/>
      <c r="AR21" s="67"/>
      <c r="AS21" s="67"/>
      <c r="AT21" s="67"/>
    </row>
    <row r="22" spans="1:46" ht="20.100000000000001" customHeight="1" x14ac:dyDescent="0.25">
      <c r="O22" s="70" t="s">
        <v>44</v>
      </c>
      <c r="P22" s="70"/>
      <c r="Q22" s="70"/>
      <c r="R22" s="70"/>
      <c r="S22" s="68" t="str">
        <f>+Cifrar!N2</f>
        <v>SXZPXKDF-VJ-ENRFHJLIYSHJKLCGAYMTTUKOQHKBHCIX-MRRUIRIJZYBTUBRSXZ</v>
      </c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</row>
    <row r="24" spans="1:46" ht="20.100000000000001" customHeight="1" x14ac:dyDescent="0.25">
      <c r="S24" s="61" t="s">
        <v>43</v>
      </c>
    </row>
    <row r="25" spans="1:46" ht="20.100000000000001" customHeight="1" x14ac:dyDescent="0.25">
      <c r="S25" s="67" t="s">
        <v>91</v>
      </c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</row>
    <row r="26" spans="1:46" ht="20.100000000000001" customHeight="1" x14ac:dyDescent="0.25">
      <c r="O26" s="70" t="s">
        <v>45</v>
      </c>
      <c r="P26" s="70"/>
      <c r="Q26" s="70"/>
      <c r="R26" s="70"/>
      <c r="S26" s="68" t="str">
        <f>+Descifrar!N2</f>
        <v>YOUWILLOFCOURSENEEDSOMEWHERETOSTDRTSOHOPEFULLYTHISWILRASSISTYOU</v>
      </c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</row>
  </sheetData>
  <sheetProtection sheet="1" objects="1" scenarios="1"/>
  <mergeCells count="9">
    <mergeCell ref="S25:AT25"/>
    <mergeCell ref="S21:AT21"/>
    <mergeCell ref="S22:AT22"/>
    <mergeCell ref="S26:AT26"/>
    <mergeCell ref="B1:D1"/>
    <mergeCell ref="F1:H1"/>
    <mergeCell ref="J1:L1"/>
    <mergeCell ref="O22:R22"/>
    <mergeCell ref="O26:R26"/>
  </mergeCells>
  <dataValidations count="3">
    <dataValidation type="list" showInputMessage="1" showErrorMessage="1" promptTitle="Rotación en X" prompt="Seleccione el valor de la rotación en X" sqref="P4" xr:uid="{3A809265-30EB-4F88-8A50-F85D119A4860}">
      <formula1>"0,1,2"</formula1>
    </dataValidation>
    <dataValidation type="list" allowBlank="1" showInputMessage="1" showErrorMessage="1" promptTitle="Rotación en Y" prompt="Seleccione el valor de la rotación en Y" sqref="P5" xr:uid="{A06398B2-1995-4E16-AD0A-A09DE31A425F}">
      <formula1>"0,1,2"</formula1>
    </dataValidation>
    <dataValidation type="list" allowBlank="1" showInputMessage="1" showErrorMessage="1" promptTitle="Rotación en Z" prompt="Seleccione el valor de la rotación en Z" sqref="P6" xr:uid="{E954413B-793A-4344-9507-4C66CE103A63}">
      <formula1>"0,1,2"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8E32E-83DC-476A-BFD1-AE7B1E9C624D}">
  <sheetPr codeName="Hoja1"/>
  <dimension ref="A1:A72"/>
  <sheetViews>
    <sheetView workbookViewId="0"/>
  </sheetViews>
  <sheetFormatPr baseColWidth="10" defaultRowHeight="15" x14ac:dyDescent="0.25"/>
  <sheetData>
    <row r="1" spans="1:1" x14ac:dyDescent="0.25">
      <c r="A1" t="s">
        <v>95</v>
      </c>
    </row>
    <row r="2" spans="1:1" x14ac:dyDescent="0.25">
      <c r="A2" s="59" t="s">
        <v>58</v>
      </c>
    </row>
    <row r="3" spans="1:1" x14ac:dyDescent="0.25">
      <c r="A3" s="59"/>
    </row>
    <row r="4" spans="1:1" ht="18.75" x14ac:dyDescent="0.3">
      <c r="A4" s="58" t="s">
        <v>57</v>
      </c>
    </row>
    <row r="5" spans="1:1" x14ac:dyDescent="0.25">
      <c r="A5" s="57" t="s">
        <v>50</v>
      </c>
    </row>
    <row r="6" spans="1:1" x14ac:dyDescent="0.25">
      <c r="A6" s="56" t="s">
        <v>51</v>
      </c>
    </row>
    <row r="7" spans="1:1" x14ac:dyDescent="0.25">
      <c r="A7" s="56" t="s">
        <v>52</v>
      </c>
    </row>
    <row r="8" spans="1:1" x14ac:dyDescent="0.25">
      <c r="A8" s="56" t="s">
        <v>53</v>
      </c>
    </row>
    <row r="9" spans="1:1" x14ac:dyDescent="0.25">
      <c r="A9" s="56" t="s">
        <v>54</v>
      </c>
    </row>
    <row r="10" spans="1:1" x14ac:dyDescent="0.25">
      <c r="A10" s="56" t="s">
        <v>55</v>
      </c>
    </row>
    <row r="11" spans="1:1" x14ac:dyDescent="0.25">
      <c r="A11" s="56" t="s">
        <v>56</v>
      </c>
    </row>
    <row r="13" spans="1:1" x14ac:dyDescent="0.25">
      <c r="A13" s="56" t="s">
        <v>48</v>
      </c>
    </row>
    <row r="14" spans="1:1" x14ac:dyDescent="0.25">
      <c r="A14" s="56" t="s">
        <v>49</v>
      </c>
    </row>
    <row r="16" spans="1:1" x14ac:dyDescent="0.25">
      <c r="A16" s="60" t="s">
        <v>59</v>
      </c>
    </row>
    <row r="17" spans="1:1" x14ac:dyDescent="0.25">
      <c r="A17" s="60" t="s">
        <v>60</v>
      </c>
    </row>
    <row r="18" spans="1:1" x14ac:dyDescent="0.25">
      <c r="A18" s="60" t="s">
        <v>61</v>
      </c>
    </row>
    <row r="19" spans="1:1" x14ac:dyDescent="0.25">
      <c r="A19" s="60" t="s">
        <v>62</v>
      </c>
    </row>
    <row r="20" spans="1:1" x14ac:dyDescent="0.25">
      <c r="A20" s="60" t="s">
        <v>63</v>
      </c>
    </row>
    <row r="21" spans="1:1" x14ac:dyDescent="0.25">
      <c r="A21" s="60" t="s">
        <v>64</v>
      </c>
    </row>
    <row r="22" spans="1:1" x14ac:dyDescent="0.25">
      <c r="A22" s="60" t="s">
        <v>65</v>
      </c>
    </row>
    <row r="23" spans="1:1" x14ac:dyDescent="0.25">
      <c r="A23" s="60" t="s">
        <v>66</v>
      </c>
    </row>
    <row r="24" spans="1:1" x14ac:dyDescent="0.25">
      <c r="A24" s="60" t="s">
        <v>67</v>
      </c>
    </row>
    <row r="26" spans="1:1" x14ac:dyDescent="0.25">
      <c r="A26" s="56" t="s">
        <v>68</v>
      </c>
    </row>
    <row r="27" spans="1:1" x14ac:dyDescent="0.25">
      <c r="A27" s="56" t="s">
        <v>69</v>
      </c>
    </row>
    <row r="30" spans="1:1" x14ac:dyDescent="0.25">
      <c r="A30" t="s">
        <v>70</v>
      </c>
    </row>
    <row r="31" spans="1:1" x14ac:dyDescent="0.25">
      <c r="A31" s="56" t="s">
        <v>71</v>
      </c>
    </row>
    <row r="44" spans="1:1" x14ac:dyDescent="0.25">
      <c r="A44" t="s">
        <v>72</v>
      </c>
    </row>
    <row r="45" spans="1:1" x14ac:dyDescent="0.25">
      <c r="A45" s="56" t="s">
        <v>73</v>
      </c>
    </row>
    <row r="47" spans="1:1" x14ac:dyDescent="0.25">
      <c r="A47" t="s">
        <v>74</v>
      </c>
    </row>
    <row r="48" spans="1:1" x14ac:dyDescent="0.25">
      <c r="A48" s="56" t="s">
        <v>75</v>
      </c>
    </row>
    <row r="49" spans="1:1" x14ac:dyDescent="0.25">
      <c r="A49" s="56" t="s">
        <v>76</v>
      </c>
    </row>
    <row r="50" spans="1:1" x14ac:dyDescent="0.25">
      <c r="A50" s="56" t="s">
        <v>77</v>
      </c>
    </row>
    <row r="52" spans="1:1" x14ac:dyDescent="0.25">
      <c r="A52" s="56" t="s">
        <v>78</v>
      </c>
    </row>
    <row r="53" spans="1:1" x14ac:dyDescent="0.25">
      <c r="A53" s="56" t="s">
        <v>79</v>
      </c>
    </row>
    <row r="54" spans="1:1" x14ac:dyDescent="0.25">
      <c r="A54" s="56" t="s">
        <v>80</v>
      </c>
    </row>
    <row r="55" spans="1:1" x14ac:dyDescent="0.25">
      <c r="A55" s="56" t="s">
        <v>81</v>
      </c>
    </row>
    <row r="64" spans="1:1" x14ac:dyDescent="0.25">
      <c r="A64" s="56" t="s">
        <v>82</v>
      </c>
    </row>
    <row r="65" spans="1:1" x14ac:dyDescent="0.25">
      <c r="A65" s="56" t="s">
        <v>83</v>
      </c>
    </row>
    <row r="66" spans="1:1" x14ac:dyDescent="0.25">
      <c r="A66" s="56" t="s">
        <v>84</v>
      </c>
    </row>
    <row r="67" spans="1:1" x14ac:dyDescent="0.25">
      <c r="A67" s="56" t="s">
        <v>85</v>
      </c>
    </row>
    <row r="68" spans="1:1" x14ac:dyDescent="0.25">
      <c r="A68" s="56" t="s">
        <v>86</v>
      </c>
    </row>
    <row r="69" spans="1:1" x14ac:dyDescent="0.25">
      <c r="A69" s="1" t="s">
        <v>87</v>
      </c>
    </row>
    <row r="70" spans="1:1" x14ac:dyDescent="0.25">
      <c r="A70" s="56" t="s">
        <v>88</v>
      </c>
    </row>
    <row r="71" spans="1:1" x14ac:dyDescent="0.25">
      <c r="A71" s="56" t="s">
        <v>89</v>
      </c>
    </row>
    <row r="72" spans="1:1" x14ac:dyDescent="0.25">
      <c r="A72" s="56" t="s">
        <v>90</v>
      </c>
    </row>
  </sheetData>
  <hyperlinks>
    <hyperlink ref="A2" r:id="rId1" display="https://puzzling.stackexchange.com/questions/105719/expanding-on-a-classic" xr:uid="{9F528C34-D7E4-423A-BB0F-8BB59A718F90}"/>
  </hyperlinks>
  <pageMargins left="0.7" right="0.7" top="0.75" bottom="0.75" header="0.3" footer="0.3"/>
  <pageSetup orientation="portrait" horizontalDpi="0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0554D-760C-460C-A92A-6C24555ED8A5}">
  <sheetPr codeName="Hoja8"/>
  <dimension ref="A1:N111"/>
  <sheetViews>
    <sheetView topLeftCell="A91" workbookViewId="0">
      <selection activeCell="N3" sqref="N3"/>
    </sheetView>
  </sheetViews>
  <sheetFormatPr baseColWidth="10" defaultColWidth="3.7109375" defaultRowHeight="15" x14ac:dyDescent="0.25"/>
  <cols>
    <col min="2" max="2" width="9.42578125" style="10" bestFit="1" customWidth="1"/>
    <col min="3" max="5" width="3.7109375" style="10"/>
    <col min="6" max="6" width="3.7109375" customWidth="1"/>
    <col min="7" max="7" width="3.7109375" style="10" customWidth="1"/>
    <col min="8" max="10" width="3.7109375" style="10"/>
    <col min="11" max="11" width="3.7109375" style="26"/>
    <col min="12" max="12" width="3.7109375" style="27"/>
    <col min="13" max="13" width="10.42578125" bestFit="1" customWidth="1"/>
    <col min="14" max="14" width="138.140625" customWidth="1"/>
  </cols>
  <sheetData>
    <row r="1" spans="1:14" x14ac:dyDescent="0.25">
      <c r="G1" s="71" t="s">
        <v>31</v>
      </c>
      <c r="H1" s="71"/>
      <c r="I1" s="71"/>
      <c r="M1" s="28" t="s">
        <v>38</v>
      </c>
      <c r="N1" s="37" t="str">
        <f>+Config!S21</f>
        <v>YOUWILLOFCOURSENEEDSOMEWHERETOSTARTSOHOPEFULLYTHISWILLASSISTYOU</v>
      </c>
    </row>
    <row r="2" spans="1:14" x14ac:dyDescent="0.25">
      <c r="G2" s="10">
        <f>+Config!P4</f>
        <v>0</v>
      </c>
      <c r="H2" s="10">
        <f>+Config!P5</f>
        <v>1</v>
      </c>
      <c r="I2" s="10">
        <f>+Config!P6</f>
        <v>2</v>
      </c>
      <c r="M2" s="28" t="s">
        <v>33</v>
      </c>
      <c r="N2" t="str">
        <f>+_xlfn.CONCAT(J4:J111)</f>
        <v>SXZPXKDF-VJ-ENRFHJLIYSHJKLCGAYMTTUKOQHKBHCIX-MRRUIRIJZYBTUBRSXZ</v>
      </c>
    </row>
    <row r="3" spans="1:14" x14ac:dyDescent="0.25">
      <c r="B3" s="4"/>
      <c r="C3" s="4" t="s">
        <v>0</v>
      </c>
      <c r="D3" s="4" t="s">
        <v>1</v>
      </c>
      <c r="E3" s="4" t="s">
        <v>2</v>
      </c>
      <c r="F3" s="4"/>
      <c r="G3" s="4" t="s">
        <v>0</v>
      </c>
      <c r="H3" s="4" t="s">
        <v>1</v>
      </c>
      <c r="I3" s="4" t="s">
        <v>2</v>
      </c>
      <c r="J3" s="3"/>
    </row>
    <row r="4" spans="1:14" x14ac:dyDescent="0.25">
      <c r="A4">
        <v>1</v>
      </c>
      <c r="B4" s="33" t="str">
        <f t="shared" ref="B4:B35" si="0">+MID($N$1,A4,1)</f>
        <v>Y</v>
      </c>
      <c r="C4" s="10">
        <f>IF(ISNA(+VLOOKUP($B4,Cuadro0!A:D,2,FALSE)),"",+VLOOKUP($B4,Cuadro0!A:D,2,FALSE))</f>
        <v>1</v>
      </c>
      <c r="D4" s="10">
        <f>IF(ISNA(+VLOOKUP($B4,Cuadro0!A:D,3,FALSE)),"",+VLOOKUP($B4,Cuadro0!A:D,3,FALSE))</f>
        <v>3</v>
      </c>
      <c r="E4" s="10">
        <f>IF(ISNA(+VLOOKUP($B4,Cuadro0!A:D,4,FALSE)),"",+VLOOKUP($B4,Cuadro0!A:D,4,FALSE))</f>
        <v>3</v>
      </c>
      <c r="G4" s="10">
        <f>+IF(G$2=0,C4,IF(G$2=1,C5,IF(G$2=2,C6,"X")))</f>
        <v>1</v>
      </c>
      <c r="H4" s="10">
        <f>+IF(H$2=0,D4,IF(H$2=1,D5,IF(H$2=2,D6,"X")))</f>
        <v>2</v>
      </c>
      <c r="I4" s="10">
        <f>+IF(I$2=0,E4,IF(I$2=1,E5,IF(I$2=2,E6,"X")))</f>
        <v>3</v>
      </c>
      <c r="J4" s="6" t="str">
        <f>IF(ISNA(+VLOOKUP(_xlfn.CONCAT(G4:I4),Cuadro1!E:F,2,FALSE)),"",+VLOOKUP(_xlfn.CONCAT(G4:I4),Cuadro1!E:F,2,FALSE))</f>
        <v>S</v>
      </c>
    </row>
    <row r="5" spans="1:14" x14ac:dyDescent="0.25">
      <c r="A5">
        <v>2</v>
      </c>
      <c r="B5" s="33" t="str">
        <f t="shared" si="0"/>
        <v>O</v>
      </c>
      <c r="C5" s="10">
        <f>IF(ISNA(+VLOOKUP($B5,Cuadro0!A:D,2,FALSE)),"",+VLOOKUP($B5,Cuadro0!A:D,2,FALSE))</f>
        <v>3</v>
      </c>
      <c r="D5" s="10">
        <f>IF(ISNA(+VLOOKUP($B5,Cuadro0!A:D,3,FALSE)),"",+VLOOKUP($B5,Cuadro0!A:D,3,FALSE))</f>
        <v>2</v>
      </c>
      <c r="E5" s="10">
        <f>IF(ISNA(+VLOOKUP($B5,Cuadro0!A:D,4,FALSE)),"",+VLOOKUP($B5,Cuadro0!A:D,4,FALSE))</f>
        <v>2</v>
      </c>
      <c r="F5" s="10"/>
      <c r="G5" s="10">
        <f>+IF(G$2=0,C5,IF(G$2=1,C6,IF(G$2=2,C4,"X")))</f>
        <v>3</v>
      </c>
      <c r="H5" s="10">
        <f>+IF(H$2=0,D5,IF(H$2=1,D6,IF(H$2=2,D4,"X")))</f>
        <v>1</v>
      </c>
      <c r="I5" s="10">
        <f>+IF(I$2=0,E5,IF(I$2=1,E6,IF(I$2=2,E4,"X")))</f>
        <v>3</v>
      </c>
      <c r="J5" s="7" t="str">
        <f>+IF(ISNA(+VLOOKUP(_xlfn.CONCAT(G5:I5),Cuadro2!E:F,2,FALSE)),"",+VLOOKUP(_xlfn.CONCAT(G5:I5),Cuadro2!E:F,2,FALSE))</f>
        <v>X</v>
      </c>
    </row>
    <row r="6" spans="1:14" x14ac:dyDescent="0.25">
      <c r="A6">
        <v>3</v>
      </c>
      <c r="B6" s="34" t="str">
        <f t="shared" si="0"/>
        <v>U</v>
      </c>
      <c r="C6" s="3">
        <f>IF(ISNA(+VLOOKUP($B6,Cuadro0!A:D,2,FALSE)),"",+VLOOKUP($B6,Cuadro0!A:D,2,FALSE))</f>
        <v>3</v>
      </c>
      <c r="D6" s="3">
        <f>IF(ISNA(+VLOOKUP($B6,Cuadro0!A:D,3,FALSE)),"",+VLOOKUP($B6,Cuadro0!A:D,3,FALSE))</f>
        <v>1</v>
      </c>
      <c r="E6" s="3">
        <f>IF(ISNA(+VLOOKUP($B6,Cuadro0!A:D,4,FALSE)),"",+VLOOKUP($B6,Cuadro0!A:D,4,FALSE))</f>
        <v>3</v>
      </c>
      <c r="F6" s="5"/>
      <c r="G6" s="3">
        <f>+IF(G$2=0,C6,IF(G$2=1,C4,IF(G$2=2,C5,"X")))</f>
        <v>3</v>
      </c>
      <c r="H6" s="3">
        <f>+IF(H$2=0,D6,IF(H$2=1,D4,IF(H$2=2,D5,"X")))</f>
        <v>3</v>
      </c>
      <c r="I6" s="3">
        <f>+IF(I$2=0,E6,IF(I$2=1,E4,IF(I$2=2,E5,"X")))</f>
        <v>2</v>
      </c>
      <c r="J6" s="8" t="str">
        <f>IF(ISNA(+VLOOKUP(_xlfn.CONCAT(G6:I6),Cuadro3!E:F,2,FALSE)),"",+VLOOKUP(_xlfn.CONCAT(G6:I6),Cuadro3!E:F,2,FALSE))</f>
        <v>Z</v>
      </c>
    </row>
    <row r="7" spans="1:14" x14ac:dyDescent="0.25">
      <c r="A7">
        <v>4</v>
      </c>
      <c r="B7" s="33" t="str">
        <f t="shared" si="0"/>
        <v>W</v>
      </c>
      <c r="C7" s="10">
        <f>IF(ISNA(+VLOOKUP($B7,Cuadro0!A:D,2,FALSE)),"",+VLOOKUP($B7,Cuadro0!A:D,2,FALSE))</f>
        <v>2</v>
      </c>
      <c r="D7" s="10">
        <f>IF(ISNA(+VLOOKUP($B7,Cuadro0!A:D,3,FALSE)),"",+VLOOKUP($B7,Cuadro0!A:D,3,FALSE))</f>
        <v>2</v>
      </c>
      <c r="E7" s="10">
        <f>IF(ISNA(+VLOOKUP($B7,Cuadro0!A:D,4,FALSE)),"",+VLOOKUP($B7,Cuadro0!A:D,4,FALSE))</f>
        <v>3</v>
      </c>
      <c r="G7" s="10">
        <f>+IF(G$2=0,C7,IF(G$2=1,C8,IF(G$2=2,C9,"X")))</f>
        <v>2</v>
      </c>
      <c r="H7" s="10">
        <f>+IF(H$2=0,D7,IF(H$2=1,D8,IF(H$2=2,D9,"X")))</f>
        <v>3</v>
      </c>
      <c r="I7" s="10">
        <f>+IF(I$2=0,E7,IF(I$2=1,E8,IF(I$2=2,E9,"X")))</f>
        <v>2</v>
      </c>
      <c r="J7" s="6" t="str">
        <f>IF(ISNA(+VLOOKUP(_xlfn.CONCAT(G7:I7),Cuadro1!E:F,2,FALSE)),"",+VLOOKUP(_xlfn.CONCAT(G7:I7),Cuadro1!E:F,2,FALSE))</f>
        <v>P</v>
      </c>
    </row>
    <row r="8" spans="1:14" x14ac:dyDescent="0.25">
      <c r="A8">
        <v>5</v>
      </c>
      <c r="B8" s="33" t="str">
        <f t="shared" si="0"/>
        <v>I</v>
      </c>
      <c r="C8" s="10">
        <f>IF(ISNA(+VLOOKUP($B8,Cuadro0!A:D,2,FALSE)),"",+VLOOKUP($B8,Cuadro0!A:D,2,FALSE))</f>
        <v>3</v>
      </c>
      <c r="D8" s="10">
        <f>IF(ISNA(+VLOOKUP($B8,Cuadro0!A:D,3,FALSE)),"",+VLOOKUP($B8,Cuadro0!A:D,3,FALSE))</f>
        <v>3</v>
      </c>
      <c r="E8" s="10">
        <f>IF(ISNA(+VLOOKUP($B8,Cuadro0!A:D,4,FALSE)),"",+VLOOKUP($B8,Cuadro0!A:D,4,FALSE))</f>
        <v>1</v>
      </c>
      <c r="F8" s="10"/>
      <c r="G8" s="10">
        <f>+IF(G$2=0,C8,IF(G$2=1,C9,IF(G$2=2,C7,"X")))</f>
        <v>3</v>
      </c>
      <c r="H8" s="10">
        <f>+IF(H$2=0,D8,IF(H$2=1,D9,IF(H$2=2,D7,"X")))</f>
        <v>1</v>
      </c>
      <c r="I8" s="10">
        <f>+IF(I$2=0,E8,IF(I$2=1,E9,IF(I$2=2,E7,"X")))</f>
        <v>3</v>
      </c>
      <c r="J8" s="7" t="str">
        <f>+IF(ISNA(+VLOOKUP(_xlfn.CONCAT(G8:I8),Cuadro2!E:F,2,FALSE)),"",+VLOOKUP(_xlfn.CONCAT(G8:I8),Cuadro2!E:F,2,FALSE))</f>
        <v>X</v>
      </c>
    </row>
    <row r="9" spans="1:14" x14ac:dyDescent="0.25">
      <c r="A9">
        <v>6</v>
      </c>
      <c r="B9" s="34" t="str">
        <f t="shared" si="0"/>
        <v>L</v>
      </c>
      <c r="C9" s="3">
        <f>IF(ISNA(+VLOOKUP($B9,Cuadro0!A:D,2,FALSE)),"",+VLOOKUP($B9,Cuadro0!A:D,2,FALSE))</f>
        <v>3</v>
      </c>
      <c r="D9" s="3">
        <f>IF(ISNA(+VLOOKUP($B9,Cuadro0!A:D,3,FALSE)),"",+VLOOKUP($B9,Cuadro0!A:D,3,FALSE))</f>
        <v>1</v>
      </c>
      <c r="E9" s="3">
        <f>IF(ISNA(+VLOOKUP($B9,Cuadro0!A:D,4,FALSE)),"",+VLOOKUP($B9,Cuadro0!A:D,4,FALSE))</f>
        <v>2</v>
      </c>
      <c r="F9" s="5"/>
      <c r="G9" s="3">
        <f>+IF(G$2=0,C9,IF(G$2=1,C7,IF(G$2=2,C8,"X")))</f>
        <v>3</v>
      </c>
      <c r="H9" s="3">
        <f>+IF(H$2=0,D9,IF(H$2=1,D7,IF(H$2=2,D8,"X")))</f>
        <v>2</v>
      </c>
      <c r="I9" s="3">
        <f>+IF(I$2=0,E9,IF(I$2=1,E7,IF(I$2=2,E8,"X")))</f>
        <v>1</v>
      </c>
      <c r="J9" s="8" t="str">
        <f>IF(ISNA(+VLOOKUP(_xlfn.CONCAT(G9:I9),Cuadro3!E:F,2,FALSE)),"",+VLOOKUP(_xlfn.CONCAT(G9:I9),Cuadro3!E:F,2,FALSE))</f>
        <v>K</v>
      </c>
    </row>
    <row r="10" spans="1:14" x14ac:dyDescent="0.25">
      <c r="A10">
        <v>7</v>
      </c>
      <c r="B10" s="33" t="str">
        <f t="shared" si="0"/>
        <v>L</v>
      </c>
      <c r="C10" s="10">
        <f>IF(ISNA(+VLOOKUP($B10,Cuadro0!A:D,2,FALSE)),"",+VLOOKUP($B10,Cuadro0!A:D,2,FALSE))</f>
        <v>3</v>
      </c>
      <c r="D10" s="10">
        <f>IF(ISNA(+VLOOKUP($B10,Cuadro0!A:D,3,FALSE)),"",+VLOOKUP($B10,Cuadro0!A:D,3,FALSE))</f>
        <v>1</v>
      </c>
      <c r="E10" s="10">
        <f>IF(ISNA(+VLOOKUP($B10,Cuadro0!A:D,4,FALSE)),"",+VLOOKUP($B10,Cuadro0!A:D,4,FALSE))</f>
        <v>2</v>
      </c>
      <c r="G10" s="10">
        <f>+IF(G$2=0,C10,IF(G$2=1,C11,IF(G$2=2,C12,"X")))</f>
        <v>3</v>
      </c>
      <c r="H10" s="10">
        <f>+IF(H$2=0,D10,IF(H$2=1,D11,IF(H$2=2,D12,"X")))</f>
        <v>2</v>
      </c>
      <c r="I10" s="10">
        <f>+IF(I$2=0,E10,IF(I$2=1,E11,IF(I$2=2,E12,"X")))</f>
        <v>1</v>
      </c>
      <c r="J10" s="6" t="str">
        <f>IF(ISNA(+VLOOKUP(_xlfn.CONCAT(G10:I10),Cuadro1!E:F,2,FALSE)),"",+VLOOKUP(_xlfn.CONCAT(G10:I10),Cuadro1!E:F,2,FALSE))</f>
        <v>D</v>
      </c>
    </row>
    <row r="11" spans="1:14" x14ac:dyDescent="0.25">
      <c r="A11">
        <v>8</v>
      </c>
      <c r="B11" s="33" t="str">
        <f t="shared" si="0"/>
        <v>O</v>
      </c>
      <c r="C11" s="10">
        <f>IF(ISNA(+VLOOKUP($B11,Cuadro0!A:D,2,FALSE)),"",+VLOOKUP($B11,Cuadro0!A:D,2,FALSE))</f>
        <v>3</v>
      </c>
      <c r="D11" s="10">
        <f>IF(ISNA(+VLOOKUP($B11,Cuadro0!A:D,3,FALSE)),"",+VLOOKUP($B11,Cuadro0!A:D,3,FALSE))</f>
        <v>2</v>
      </c>
      <c r="E11" s="10">
        <f>IF(ISNA(+VLOOKUP($B11,Cuadro0!A:D,4,FALSE)),"",+VLOOKUP($B11,Cuadro0!A:D,4,FALSE))</f>
        <v>2</v>
      </c>
      <c r="F11" s="10"/>
      <c r="G11" s="10">
        <f>+IF(G$2=0,C11,IF(G$2=1,C12,IF(G$2=2,C10,"X")))</f>
        <v>3</v>
      </c>
      <c r="H11" s="10">
        <f>+IF(H$2=0,D11,IF(H$2=1,D12,IF(H$2=2,D10,"X")))</f>
        <v>2</v>
      </c>
      <c r="I11" s="10">
        <f>+IF(I$2=0,E11,IF(I$2=1,E12,IF(I$2=2,E10,"X")))</f>
        <v>2</v>
      </c>
      <c r="J11" s="7" t="str">
        <f>+IF(ISNA(+VLOOKUP(_xlfn.CONCAT(G11:I11),Cuadro2!E:F,2,FALSE)),"",+VLOOKUP(_xlfn.CONCAT(G11:I11),Cuadro2!E:F,2,FALSE))</f>
        <v>F</v>
      </c>
    </row>
    <row r="12" spans="1:14" x14ac:dyDescent="0.25">
      <c r="A12">
        <v>9</v>
      </c>
      <c r="B12" s="34" t="str">
        <f t="shared" si="0"/>
        <v>F</v>
      </c>
      <c r="C12" s="3">
        <f>IF(ISNA(+VLOOKUP($B12,Cuadro0!A:D,2,FALSE)),"",+VLOOKUP($B12,Cuadro0!A:D,2,FALSE))</f>
        <v>3</v>
      </c>
      <c r="D12" s="3">
        <f>IF(ISNA(+VLOOKUP($B12,Cuadro0!A:D,3,FALSE)),"",+VLOOKUP($B12,Cuadro0!A:D,3,FALSE))</f>
        <v>2</v>
      </c>
      <c r="E12" s="3">
        <f>IF(ISNA(+VLOOKUP($B12,Cuadro0!A:D,4,FALSE)),"",+VLOOKUP($B12,Cuadro0!A:D,4,FALSE))</f>
        <v>1</v>
      </c>
      <c r="F12" s="5"/>
      <c r="G12" s="3">
        <f>+IF(G$2=0,C12,IF(G$2=1,C10,IF(G$2=2,C11,"X")))</f>
        <v>3</v>
      </c>
      <c r="H12" s="3">
        <f>+IF(H$2=0,D12,IF(H$2=1,D10,IF(H$2=2,D11,"X")))</f>
        <v>1</v>
      </c>
      <c r="I12" s="3">
        <f>+IF(I$2=0,E12,IF(I$2=1,E10,IF(I$2=2,E11,"X")))</f>
        <v>2</v>
      </c>
      <c r="J12" s="8" t="str">
        <f>IF(ISNA(+VLOOKUP(_xlfn.CONCAT(G12:I12),Cuadro3!E:F,2,FALSE)),"",+VLOOKUP(_xlfn.CONCAT(G12:I12),Cuadro3!E:F,2,FALSE))</f>
        <v>-</v>
      </c>
    </row>
    <row r="13" spans="1:14" x14ac:dyDescent="0.25">
      <c r="A13">
        <v>10</v>
      </c>
      <c r="B13" s="33" t="str">
        <f t="shared" si="0"/>
        <v>C</v>
      </c>
      <c r="C13" s="10">
        <f>IF(ISNA(+VLOOKUP($B13,Cuadro0!A:D,2,FALSE)),"",+VLOOKUP($B13,Cuadro0!A:D,2,FALSE))</f>
        <v>3</v>
      </c>
      <c r="D13" s="10">
        <f>IF(ISNA(+VLOOKUP($B13,Cuadro0!A:D,3,FALSE)),"",+VLOOKUP($B13,Cuadro0!A:D,3,FALSE))</f>
        <v>1</v>
      </c>
      <c r="E13" s="10">
        <f>IF(ISNA(+VLOOKUP($B13,Cuadro0!A:D,4,FALSE)),"",+VLOOKUP($B13,Cuadro0!A:D,4,FALSE))</f>
        <v>1</v>
      </c>
      <c r="G13" s="10">
        <f>+IF(G$2=0,C13,IF(G$2=1,C14,IF(G$2=2,C15,"X")))</f>
        <v>3</v>
      </c>
      <c r="H13" s="10">
        <f>+IF(H$2=0,D13,IF(H$2=1,D14,IF(H$2=2,D15,"X")))</f>
        <v>2</v>
      </c>
      <c r="I13" s="10">
        <f>+IF(I$2=0,E13,IF(I$2=1,E14,IF(I$2=2,E15,"X")))</f>
        <v>3</v>
      </c>
      <c r="J13" s="6" t="str">
        <f>IF(ISNA(+VLOOKUP(_xlfn.CONCAT(G13:I13),Cuadro1!E:F,2,FALSE)),"",+VLOOKUP(_xlfn.CONCAT(G13:I13),Cuadro1!E:F,2,FALSE))</f>
        <v>V</v>
      </c>
    </row>
    <row r="14" spans="1:14" x14ac:dyDescent="0.25">
      <c r="A14">
        <v>11</v>
      </c>
      <c r="B14" s="33" t="str">
        <f t="shared" si="0"/>
        <v>O</v>
      </c>
      <c r="C14" s="10">
        <f>IF(ISNA(+VLOOKUP($B14,Cuadro0!A:D,2,FALSE)),"",+VLOOKUP($B14,Cuadro0!A:D,2,FALSE))</f>
        <v>3</v>
      </c>
      <c r="D14" s="10">
        <f>IF(ISNA(+VLOOKUP($B14,Cuadro0!A:D,3,FALSE)),"",+VLOOKUP($B14,Cuadro0!A:D,3,FALSE))</f>
        <v>2</v>
      </c>
      <c r="E14" s="10">
        <f>IF(ISNA(+VLOOKUP($B14,Cuadro0!A:D,4,FALSE)),"",+VLOOKUP($B14,Cuadro0!A:D,4,FALSE))</f>
        <v>2</v>
      </c>
      <c r="F14" s="10"/>
      <c r="G14" s="10">
        <f>+IF(G$2=0,C14,IF(G$2=1,C15,IF(G$2=2,C13,"X")))</f>
        <v>3</v>
      </c>
      <c r="H14" s="10">
        <f>+IF(H$2=0,D14,IF(H$2=1,D15,IF(H$2=2,D13,"X")))</f>
        <v>1</v>
      </c>
      <c r="I14" s="10">
        <f>+IF(I$2=0,E14,IF(I$2=1,E15,IF(I$2=2,E13,"X")))</f>
        <v>1</v>
      </c>
      <c r="J14" s="7" t="str">
        <f>+IF(ISNA(+VLOOKUP(_xlfn.CONCAT(G14:I14),Cuadro2!E:F,2,FALSE)),"",+VLOOKUP(_xlfn.CONCAT(G14:I14),Cuadro2!E:F,2,FALSE))</f>
        <v>J</v>
      </c>
    </row>
    <row r="15" spans="1:14" x14ac:dyDescent="0.25">
      <c r="A15">
        <v>12</v>
      </c>
      <c r="B15" s="34" t="str">
        <f t="shared" si="0"/>
        <v>U</v>
      </c>
      <c r="C15" s="3">
        <f>IF(ISNA(+VLOOKUP($B15,Cuadro0!A:D,2,FALSE)),"",+VLOOKUP($B15,Cuadro0!A:D,2,FALSE))</f>
        <v>3</v>
      </c>
      <c r="D15" s="3">
        <f>IF(ISNA(+VLOOKUP($B15,Cuadro0!A:D,3,FALSE)),"",+VLOOKUP($B15,Cuadro0!A:D,3,FALSE))</f>
        <v>1</v>
      </c>
      <c r="E15" s="3">
        <f>IF(ISNA(+VLOOKUP($B15,Cuadro0!A:D,4,FALSE)),"",+VLOOKUP($B15,Cuadro0!A:D,4,FALSE))</f>
        <v>3</v>
      </c>
      <c r="F15" s="5"/>
      <c r="G15" s="3">
        <f>+IF(G$2=0,C15,IF(G$2=1,C13,IF(G$2=2,C14,"X")))</f>
        <v>3</v>
      </c>
      <c r="H15" s="3">
        <f>+IF(H$2=0,D15,IF(H$2=1,D13,IF(H$2=2,D14,"X")))</f>
        <v>1</v>
      </c>
      <c r="I15" s="3">
        <f>+IF(I$2=0,E15,IF(I$2=1,E13,IF(I$2=2,E14,"X")))</f>
        <v>2</v>
      </c>
      <c r="J15" s="8" t="str">
        <f>IF(ISNA(+VLOOKUP(_xlfn.CONCAT(G15:I15),Cuadro3!E:F,2,FALSE)),"",+VLOOKUP(_xlfn.CONCAT(G15:I15),Cuadro3!E:F,2,FALSE))</f>
        <v>-</v>
      </c>
    </row>
    <row r="16" spans="1:14" x14ac:dyDescent="0.25">
      <c r="A16">
        <v>13</v>
      </c>
      <c r="B16" s="33" t="str">
        <f t="shared" si="0"/>
        <v>R</v>
      </c>
      <c r="C16" s="10">
        <f>IF(ISNA(+VLOOKUP($B16,Cuadro0!A:D,2,FALSE)),"",+VLOOKUP($B16,Cuadro0!A:D,2,FALSE))</f>
        <v>3</v>
      </c>
      <c r="D16" s="10">
        <f>IF(ISNA(+VLOOKUP($B16,Cuadro0!A:D,3,FALSE)),"",+VLOOKUP($B16,Cuadro0!A:D,3,FALSE))</f>
        <v>3</v>
      </c>
      <c r="E16" s="10">
        <f>IF(ISNA(+VLOOKUP($B16,Cuadro0!A:D,4,FALSE)),"",+VLOOKUP($B16,Cuadro0!A:D,4,FALSE))</f>
        <v>2</v>
      </c>
      <c r="G16" s="10">
        <f>+IF(G$2=0,C16,IF(G$2=1,C17,IF(G$2=2,C18,"X")))</f>
        <v>3</v>
      </c>
      <c r="H16" s="10">
        <f>+IF(H$2=0,D16,IF(H$2=1,D17,IF(H$2=2,D18,"X")))</f>
        <v>1</v>
      </c>
      <c r="I16" s="10">
        <f>+IF(I$2=0,E16,IF(I$2=1,E17,IF(I$2=2,E18,"X")))</f>
        <v>1</v>
      </c>
      <c r="J16" s="6" t="str">
        <f>IF(ISNA(+VLOOKUP(_xlfn.CONCAT(G16:I16),Cuadro1!E:F,2,FALSE)),"",+VLOOKUP(_xlfn.CONCAT(G16:I16),Cuadro1!E:F,2,FALSE))</f>
        <v>E</v>
      </c>
    </row>
    <row r="17" spans="1:10" x14ac:dyDescent="0.25">
      <c r="A17">
        <v>14</v>
      </c>
      <c r="B17" s="33" t="str">
        <f t="shared" si="0"/>
        <v>S</v>
      </c>
      <c r="C17" s="10">
        <f>IF(ISNA(+VLOOKUP($B17,Cuadro0!A:D,2,FALSE)),"",+VLOOKUP($B17,Cuadro0!A:D,2,FALSE))</f>
        <v>1</v>
      </c>
      <c r="D17" s="10">
        <f>IF(ISNA(+VLOOKUP($B17,Cuadro0!A:D,3,FALSE)),"",+VLOOKUP($B17,Cuadro0!A:D,3,FALSE))</f>
        <v>1</v>
      </c>
      <c r="E17" s="10">
        <f>IF(ISNA(+VLOOKUP($B17,Cuadro0!A:D,4,FALSE)),"",+VLOOKUP($B17,Cuadro0!A:D,4,FALSE))</f>
        <v>3</v>
      </c>
      <c r="F17" s="10"/>
      <c r="G17" s="10">
        <f>+IF(G$2=0,C17,IF(G$2=1,C18,IF(G$2=2,C16,"X")))</f>
        <v>1</v>
      </c>
      <c r="H17" s="10">
        <f>+IF(H$2=0,D17,IF(H$2=1,D18,IF(H$2=2,D16,"X")))</f>
        <v>2</v>
      </c>
      <c r="I17" s="10">
        <f>+IF(I$2=0,E17,IF(I$2=1,E18,IF(I$2=2,E16,"X")))</f>
        <v>2</v>
      </c>
      <c r="J17" s="7" t="str">
        <f>+IF(ISNA(+VLOOKUP(_xlfn.CONCAT(G17:I17),Cuadro2!E:F,2,FALSE)),"",+VLOOKUP(_xlfn.CONCAT(G17:I17),Cuadro2!E:F,2,FALSE))</f>
        <v>N</v>
      </c>
    </row>
    <row r="18" spans="1:10" x14ac:dyDescent="0.25">
      <c r="A18">
        <v>15</v>
      </c>
      <c r="B18" s="34" t="str">
        <f t="shared" si="0"/>
        <v>E</v>
      </c>
      <c r="C18" s="3">
        <f>IF(ISNA(+VLOOKUP($B18,Cuadro0!A:D,2,FALSE)),"",+VLOOKUP($B18,Cuadro0!A:D,2,FALSE))</f>
        <v>2</v>
      </c>
      <c r="D18" s="3">
        <f>IF(ISNA(+VLOOKUP($B18,Cuadro0!A:D,3,FALSE)),"",+VLOOKUP($B18,Cuadro0!A:D,3,FALSE))</f>
        <v>2</v>
      </c>
      <c r="E18" s="3">
        <f>IF(ISNA(+VLOOKUP($B18,Cuadro0!A:D,4,FALSE)),"",+VLOOKUP($B18,Cuadro0!A:D,4,FALSE))</f>
        <v>1</v>
      </c>
      <c r="F18" s="5"/>
      <c r="G18" s="3">
        <f>+IF(G$2=0,C18,IF(G$2=1,C16,IF(G$2=2,C17,"X")))</f>
        <v>2</v>
      </c>
      <c r="H18" s="3">
        <f>+IF(H$2=0,D18,IF(H$2=1,D16,IF(H$2=2,D17,"X")))</f>
        <v>3</v>
      </c>
      <c r="I18" s="3">
        <f>+IF(I$2=0,E18,IF(I$2=1,E16,IF(I$2=2,E17,"X")))</f>
        <v>3</v>
      </c>
      <c r="J18" s="8" t="str">
        <f>IF(ISNA(+VLOOKUP(_xlfn.CONCAT(G18:I18),Cuadro3!E:F,2,FALSE)),"",+VLOOKUP(_xlfn.CONCAT(G18:I18),Cuadro3!E:F,2,FALSE))</f>
        <v>R</v>
      </c>
    </row>
    <row r="19" spans="1:10" x14ac:dyDescent="0.25">
      <c r="A19">
        <v>16</v>
      </c>
      <c r="B19" s="33" t="str">
        <f t="shared" si="0"/>
        <v>N</v>
      </c>
      <c r="C19" s="10">
        <f>IF(ISNA(+VLOOKUP($B19,Cuadro0!A:D,2,FALSE)),"",+VLOOKUP($B19,Cuadro0!A:D,2,FALSE))</f>
        <v>2</v>
      </c>
      <c r="D19" s="10">
        <f>IF(ISNA(+VLOOKUP($B19,Cuadro0!A:D,3,FALSE)),"",+VLOOKUP($B19,Cuadro0!A:D,3,FALSE))</f>
        <v>2</v>
      </c>
      <c r="E19" s="10">
        <f>IF(ISNA(+VLOOKUP($B19,Cuadro0!A:D,4,FALSE)),"",+VLOOKUP($B19,Cuadro0!A:D,4,FALSE))</f>
        <v>2</v>
      </c>
      <c r="G19" s="10">
        <f>+IF(G$2=0,C19,IF(G$2=1,C20,IF(G$2=2,C21,"X")))</f>
        <v>2</v>
      </c>
      <c r="H19" s="10">
        <f>+IF(H$2=0,D19,IF(H$2=1,D20,IF(H$2=2,D21,"X")))</f>
        <v>2</v>
      </c>
      <c r="I19" s="10">
        <f>+IF(I$2=0,E19,IF(I$2=1,E20,IF(I$2=2,E21,"X")))</f>
        <v>1</v>
      </c>
      <c r="J19" s="6" t="str">
        <f>IF(ISNA(+VLOOKUP(_xlfn.CONCAT(G19:I19),Cuadro1!E:F,2,FALSE)),"",+VLOOKUP(_xlfn.CONCAT(G19:I19),Cuadro1!E:F,2,FALSE))</f>
        <v>F</v>
      </c>
    </row>
    <row r="20" spans="1:10" x14ac:dyDescent="0.25">
      <c r="A20">
        <v>17</v>
      </c>
      <c r="B20" s="33" t="str">
        <f t="shared" si="0"/>
        <v>E</v>
      </c>
      <c r="C20" s="10">
        <f>IF(ISNA(+VLOOKUP($B20,Cuadro0!A:D,2,FALSE)),"",+VLOOKUP($B20,Cuadro0!A:D,2,FALSE))</f>
        <v>2</v>
      </c>
      <c r="D20" s="10">
        <f>IF(ISNA(+VLOOKUP($B20,Cuadro0!A:D,3,FALSE)),"",+VLOOKUP($B20,Cuadro0!A:D,3,FALSE))</f>
        <v>2</v>
      </c>
      <c r="E20" s="10">
        <f>IF(ISNA(+VLOOKUP($B20,Cuadro0!A:D,4,FALSE)),"",+VLOOKUP($B20,Cuadro0!A:D,4,FALSE))</f>
        <v>1</v>
      </c>
      <c r="F20" s="10"/>
      <c r="G20" s="10">
        <f>+IF(G$2=0,C20,IF(G$2=1,C21,IF(G$2=2,C19,"X")))</f>
        <v>2</v>
      </c>
      <c r="H20" s="10">
        <f>+IF(H$2=0,D20,IF(H$2=1,D21,IF(H$2=2,D19,"X")))</f>
        <v>2</v>
      </c>
      <c r="I20" s="10">
        <f>+IF(I$2=0,E20,IF(I$2=1,E21,IF(I$2=2,E19,"X")))</f>
        <v>2</v>
      </c>
      <c r="J20" s="7" t="str">
        <f>+IF(ISNA(+VLOOKUP(_xlfn.CONCAT(G20:I20),Cuadro2!E:F,2,FALSE)),"",+VLOOKUP(_xlfn.CONCAT(G20:I20),Cuadro2!E:F,2,FALSE))</f>
        <v>H</v>
      </c>
    </row>
    <row r="21" spans="1:10" x14ac:dyDescent="0.25">
      <c r="A21">
        <v>18</v>
      </c>
      <c r="B21" s="34" t="str">
        <f t="shared" si="0"/>
        <v>E</v>
      </c>
      <c r="C21" s="3">
        <f>IF(ISNA(+VLOOKUP($B21,Cuadro0!A:D,2,FALSE)),"",+VLOOKUP($B21,Cuadro0!A:D,2,FALSE))</f>
        <v>2</v>
      </c>
      <c r="D21" s="3">
        <f>IF(ISNA(+VLOOKUP($B21,Cuadro0!A:D,3,FALSE)),"",+VLOOKUP($B21,Cuadro0!A:D,3,FALSE))</f>
        <v>2</v>
      </c>
      <c r="E21" s="3">
        <f>IF(ISNA(+VLOOKUP($B21,Cuadro0!A:D,4,FALSE)),"",+VLOOKUP($B21,Cuadro0!A:D,4,FALSE))</f>
        <v>1</v>
      </c>
      <c r="F21" s="5"/>
      <c r="G21" s="3">
        <f>+IF(G$2=0,C21,IF(G$2=1,C19,IF(G$2=2,C20,"X")))</f>
        <v>2</v>
      </c>
      <c r="H21" s="3">
        <f>+IF(H$2=0,D21,IF(H$2=1,D19,IF(H$2=2,D20,"X")))</f>
        <v>2</v>
      </c>
      <c r="I21" s="3">
        <f>+IF(I$2=0,E21,IF(I$2=1,E19,IF(I$2=2,E20,"X")))</f>
        <v>1</v>
      </c>
      <c r="J21" s="8" t="str">
        <f>IF(ISNA(+VLOOKUP(_xlfn.CONCAT(G21:I21),Cuadro3!E:F,2,FALSE)),"",+VLOOKUP(_xlfn.CONCAT(G21:I21),Cuadro3!E:F,2,FALSE))</f>
        <v>J</v>
      </c>
    </row>
    <row r="22" spans="1:10" x14ac:dyDescent="0.25">
      <c r="A22">
        <v>19</v>
      </c>
      <c r="B22" s="33" t="str">
        <f t="shared" si="0"/>
        <v>D</v>
      </c>
      <c r="C22" s="10">
        <f>IF(ISNA(+VLOOKUP($B22,Cuadro0!A:D,2,FALSE)),"",+VLOOKUP($B22,Cuadro0!A:D,2,FALSE))</f>
        <v>1</v>
      </c>
      <c r="D22" s="10">
        <f>IF(ISNA(+VLOOKUP($B22,Cuadro0!A:D,3,FALSE)),"",+VLOOKUP($B22,Cuadro0!A:D,3,FALSE))</f>
        <v>2</v>
      </c>
      <c r="E22" s="10">
        <f>IF(ISNA(+VLOOKUP($B22,Cuadro0!A:D,4,FALSE)),"",+VLOOKUP($B22,Cuadro0!A:D,4,FALSE))</f>
        <v>1</v>
      </c>
      <c r="G22" s="10">
        <f>+IF(G$2=0,C22,IF(G$2=1,C23,IF(G$2=2,C24,"X")))</f>
        <v>1</v>
      </c>
      <c r="H22" s="10">
        <f>+IF(H$2=0,D22,IF(H$2=1,D23,IF(H$2=2,D24,"X")))</f>
        <v>1</v>
      </c>
      <c r="I22" s="10">
        <f>+IF(I$2=0,E22,IF(I$2=1,E23,IF(I$2=2,E24,"X")))</f>
        <v>2</v>
      </c>
      <c r="J22" s="6" t="str">
        <f>IF(ISNA(+VLOOKUP(_xlfn.CONCAT(G22:I22),Cuadro1!E:F,2,FALSE)),"",+VLOOKUP(_xlfn.CONCAT(G22:I22),Cuadro1!E:F,2,FALSE))</f>
        <v>L</v>
      </c>
    </row>
    <row r="23" spans="1:10" x14ac:dyDescent="0.25">
      <c r="A23">
        <v>20</v>
      </c>
      <c r="B23" s="33" t="str">
        <f t="shared" si="0"/>
        <v>S</v>
      </c>
      <c r="C23" s="10">
        <f>IF(ISNA(+VLOOKUP($B23,Cuadro0!A:D,2,FALSE)),"",+VLOOKUP($B23,Cuadro0!A:D,2,FALSE))</f>
        <v>1</v>
      </c>
      <c r="D23" s="10">
        <f>IF(ISNA(+VLOOKUP($B23,Cuadro0!A:D,3,FALSE)),"",+VLOOKUP($B23,Cuadro0!A:D,3,FALSE))</f>
        <v>1</v>
      </c>
      <c r="E23" s="10">
        <f>IF(ISNA(+VLOOKUP($B23,Cuadro0!A:D,4,FALSE)),"",+VLOOKUP($B23,Cuadro0!A:D,4,FALSE))</f>
        <v>3</v>
      </c>
      <c r="F23" s="10"/>
      <c r="G23" s="10">
        <f>+IF(G$2=0,C23,IF(G$2=1,C24,IF(G$2=2,C22,"X")))</f>
        <v>1</v>
      </c>
      <c r="H23" s="10">
        <f>+IF(H$2=0,D23,IF(H$2=1,D24,IF(H$2=2,D22,"X")))</f>
        <v>2</v>
      </c>
      <c r="I23" s="10">
        <f>+IF(I$2=0,E23,IF(I$2=1,E24,IF(I$2=2,E22,"X")))</f>
        <v>1</v>
      </c>
      <c r="J23" s="7" t="str">
        <f>+IF(ISNA(+VLOOKUP(_xlfn.CONCAT(G23:I23),Cuadro2!E:F,2,FALSE)),"",+VLOOKUP(_xlfn.CONCAT(G23:I23),Cuadro2!E:F,2,FALSE))</f>
        <v>I</v>
      </c>
    </row>
    <row r="24" spans="1:10" x14ac:dyDescent="0.25">
      <c r="A24">
        <v>21</v>
      </c>
      <c r="B24" s="34" t="str">
        <f t="shared" si="0"/>
        <v>O</v>
      </c>
      <c r="C24" s="3">
        <f>IF(ISNA(+VLOOKUP($B24,Cuadro0!A:D,2,FALSE)),"",+VLOOKUP($B24,Cuadro0!A:D,2,FALSE))</f>
        <v>3</v>
      </c>
      <c r="D24" s="3">
        <f>IF(ISNA(+VLOOKUP($B24,Cuadro0!A:D,3,FALSE)),"",+VLOOKUP($B24,Cuadro0!A:D,3,FALSE))</f>
        <v>2</v>
      </c>
      <c r="E24" s="3">
        <f>IF(ISNA(+VLOOKUP($B24,Cuadro0!A:D,4,FALSE)),"",+VLOOKUP($B24,Cuadro0!A:D,4,FALSE))</f>
        <v>2</v>
      </c>
      <c r="F24" s="5"/>
      <c r="G24" s="3">
        <f>+IF(G$2=0,C24,IF(G$2=1,C22,IF(G$2=2,C23,"X")))</f>
        <v>3</v>
      </c>
      <c r="H24" s="3">
        <f>+IF(H$2=0,D24,IF(H$2=1,D22,IF(H$2=2,D23,"X")))</f>
        <v>2</v>
      </c>
      <c r="I24" s="3">
        <f>+IF(I$2=0,E24,IF(I$2=1,E22,IF(I$2=2,E23,"X")))</f>
        <v>3</v>
      </c>
      <c r="J24" s="8" t="str">
        <f>IF(ISNA(+VLOOKUP(_xlfn.CONCAT(G24:I24),Cuadro3!E:F,2,FALSE)),"",+VLOOKUP(_xlfn.CONCAT(G24:I24),Cuadro3!E:F,2,FALSE))</f>
        <v>Y</v>
      </c>
    </row>
    <row r="25" spans="1:10" x14ac:dyDescent="0.25">
      <c r="A25">
        <v>22</v>
      </c>
      <c r="B25" s="33" t="str">
        <f t="shared" si="0"/>
        <v>M</v>
      </c>
      <c r="C25" s="10">
        <f>IF(ISNA(+VLOOKUP($B25,Cuadro0!A:D,2,FALSE)),"",+VLOOKUP($B25,Cuadro0!A:D,2,FALSE))</f>
        <v>1</v>
      </c>
      <c r="D25" s="10">
        <f>IF(ISNA(+VLOOKUP($B25,Cuadro0!A:D,3,FALSE)),"",+VLOOKUP($B25,Cuadro0!A:D,3,FALSE))</f>
        <v>2</v>
      </c>
      <c r="E25" s="10">
        <f>IF(ISNA(+VLOOKUP($B25,Cuadro0!A:D,4,FALSE)),"",+VLOOKUP($B25,Cuadro0!A:D,4,FALSE))</f>
        <v>2</v>
      </c>
      <c r="G25" s="10">
        <f>+IF(G$2=0,C25,IF(G$2=1,C26,IF(G$2=2,C27,"X")))</f>
        <v>1</v>
      </c>
      <c r="H25" s="10">
        <f>+IF(H$2=0,D25,IF(H$2=1,D26,IF(H$2=2,D27,"X")))</f>
        <v>2</v>
      </c>
      <c r="I25" s="10">
        <f>+IF(I$2=0,E25,IF(I$2=1,E26,IF(I$2=2,E27,"X")))</f>
        <v>3</v>
      </c>
      <c r="J25" s="6" t="str">
        <f>IF(ISNA(+VLOOKUP(_xlfn.CONCAT(G25:I25),Cuadro1!E:F,2,FALSE)),"",+VLOOKUP(_xlfn.CONCAT(G25:I25),Cuadro1!E:F,2,FALSE))</f>
        <v>S</v>
      </c>
    </row>
    <row r="26" spans="1:10" x14ac:dyDescent="0.25">
      <c r="A26">
        <v>23</v>
      </c>
      <c r="B26" s="33" t="str">
        <f t="shared" si="0"/>
        <v>E</v>
      </c>
      <c r="C26" s="10">
        <f>IF(ISNA(+VLOOKUP($B26,Cuadro0!A:D,2,FALSE)),"",+VLOOKUP($B26,Cuadro0!A:D,2,FALSE))</f>
        <v>2</v>
      </c>
      <c r="D26" s="10">
        <f>IF(ISNA(+VLOOKUP($B26,Cuadro0!A:D,3,FALSE)),"",+VLOOKUP($B26,Cuadro0!A:D,3,FALSE))</f>
        <v>2</v>
      </c>
      <c r="E26" s="10">
        <f>IF(ISNA(+VLOOKUP($B26,Cuadro0!A:D,4,FALSE)),"",+VLOOKUP($B26,Cuadro0!A:D,4,FALSE))</f>
        <v>1</v>
      </c>
      <c r="F26" s="10"/>
      <c r="G26" s="10">
        <f>+IF(G$2=0,C26,IF(G$2=1,C27,IF(G$2=2,C25,"X")))</f>
        <v>2</v>
      </c>
      <c r="H26" s="10">
        <f>+IF(H$2=0,D26,IF(H$2=1,D27,IF(H$2=2,D25,"X")))</f>
        <v>2</v>
      </c>
      <c r="I26" s="10">
        <f>+IF(I$2=0,E26,IF(I$2=1,E27,IF(I$2=2,E25,"X")))</f>
        <v>2</v>
      </c>
      <c r="J26" s="7" t="str">
        <f>+IF(ISNA(+VLOOKUP(_xlfn.CONCAT(G26:I26),Cuadro2!E:F,2,FALSE)),"",+VLOOKUP(_xlfn.CONCAT(G26:I26),Cuadro2!E:F,2,FALSE))</f>
        <v>H</v>
      </c>
    </row>
    <row r="27" spans="1:10" x14ac:dyDescent="0.25">
      <c r="A27">
        <v>24</v>
      </c>
      <c r="B27" s="34" t="str">
        <f t="shared" si="0"/>
        <v>W</v>
      </c>
      <c r="C27" s="3">
        <f>IF(ISNA(+VLOOKUP($B27,Cuadro0!A:D,2,FALSE)),"",+VLOOKUP($B27,Cuadro0!A:D,2,FALSE))</f>
        <v>2</v>
      </c>
      <c r="D27" s="3">
        <f>IF(ISNA(+VLOOKUP($B27,Cuadro0!A:D,3,FALSE)),"",+VLOOKUP($B27,Cuadro0!A:D,3,FALSE))</f>
        <v>2</v>
      </c>
      <c r="E27" s="3">
        <f>IF(ISNA(+VLOOKUP($B27,Cuadro0!A:D,4,FALSE)),"",+VLOOKUP($B27,Cuadro0!A:D,4,FALSE))</f>
        <v>3</v>
      </c>
      <c r="F27" s="5"/>
      <c r="G27" s="3">
        <f>+IF(G$2=0,C27,IF(G$2=1,C25,IF(G$2=2,C26,"X")))</f>
        <v>2</v>
      </c>
      <c r="H27" s="3">
        <f>+IF(H$2=0,D27,IF(H$2=1,D25,IF(H$2=2,D26,"X")))</f>
        <v>2</v>
      </c>
      <c r="I27" s="3">
        <f>+IF(I$2=0,E27,IF(I$2=1,E25,IF(I$2=2,E26,"X")))</f>
        <v>1</v>
      </c>
      <c r="J27" s="8" t="str">
        <f>IF(ISNA(+VLOOKUP(_xlfn.CONCAT(G27:I27),Cuadro3!E:F,2,FALSE)),"",+VLOOKUP(_xlfn.CONCAT(G27:I27),Cuadro3!E:F,2,FALSE))</f>
        <v>J</v>
      </c>
    </row>
    <row r="28" spans="1:10" x14ac:dyDescent="0.25">
      <c r="A28">
        <v>25</v>
      </c>
      <c r="B28" s="33" t="str">
        <f t="shared" si="0"/>
        <v>H</v>
      </c>
      <c r="C28" s="10">
        <f>IF(ISNA(+VLOOKUP($B28,Cuadro0!A:D,2,FALSE)),"",+VLOOKUP($B28,Cuadro0!A:D,2,FALSE))</f>
        <v>2</v>
      </c>
      <c r="D28" s="10">
        <f>IF(ISNA(+VLOOKUP($B28,Cuadro0!A:D,3,FALSE)),"",+VLOOKUP($B28,Cuadro0!A:D,3,FALSE))</f>
        <v>3</v>
      </c>
      <c r="E28" s="10">
        <f>IF(ISNA(+VLOOKUP($B28,Cuadro0!A:D,4,FALSE)),"",+VLOOKUP($B28,Cuadro0!A:D,4,FALSE))</f>
        <v>1</v>
      </c>
      <c r="G28" s="10">
        <f>+IF(G$2=0,C28,IF(G$2=1,C29,IF(G$2=2,C30,"X")))</f>
        <v>2</v>
      </c>
      <c r="H28" s="10">
        <f>+IF(H$2=0,D28,IF(H$2=1,D29,IF(H$2=2,D30,"X")))</f>
        <v>2</v>
      </c>
      <c r="I28" s="10">
        <f>+IF(I$2=0,E28,IF(I$2=1,E29,IF(I$2=2,E30,"X")))</f>
        <v>2</v>
      </c>
      <c r="J28" s="6" t="str">
        <f>IF(ISNA(+VLOOKUP(_xlfn.CONCAT(G28:I28),Cuadro1!E:F,2,FALSE)),"",+VLOOKUP(_xlfn.CONCAT(G28:I28),Cuadro1!E:F,2,FALSE))</f>
        <v>K</v>
      </c>
    </row>
    <row r="29" spans="1:10" x14ac:dyDescent="0.25">
      <c r="A29">
        <v>26</v>
      </c>
      <c r="B29" s="33" t="str">
        <f t="shared" si="0"/>
        <v>E</v>
      </c>
      <c r="C29" s="10">
        <f>IF(ISNA(+VLOOKUP($B29,Cuadro0!A:D,2,FALSE)),"",+VLOOKUP($B29,Cuadro0!A:D,2,FALSE))</f>
        <v>2</v>
      </c>
      <c r="D29" s="10">
        <f>IF(ISNA(+VLOOKUP($B29,Cuadro0!A:D,3,FALSE)),"",+VLOOKUP($B29,Cuadro0!A:D,3,FALSE))</f>
        <v>2</v>
      </c>
      <c r="E29" s="10">
        <f>IF(ISNA(+VLOOKUP($B29,Cuadro0!A:D,4,FALSE)),"",+VLOOKUP($B29,Cuadro0!A:D,4,FALSE))</f>
        <v>1</v>
      </c>
      <c r="F29" s="10"/>
      <c r="G29" s="10">
        <f>+IF(G$2=0,C29,IF(G$2=1,C30,IF(G$2=2,C28,"X")))</f>
        <v>2</v>
      </c>
      <c r="H29" s="10">
        <f>+IF(H$2=0,D29,IF(H$2=1,D30,IF(H$2=2,D28,"X")))</f>
        <v>3</v>
      </c>
      <c r="I29" s="10">
        <f>+IF(I$2=0,E29,IF(I$2=1,E30,IF(I$2=2,E28,"X")))</f>
        <v>1</v>
      </c>
      <c r="J29" s="7" t="str">
        <f>+IF(ISNA(+VLOOKUP(_xlfn.CONCAT(G29:I29),Cuadro2!E:F,2,FALSE)),"",+VLOOKUP(_xlfn.CONCAT(G29:I29),Cuadro2!E:F,2,FALSE))</f>
        <v>L</v>
      </c>
    </row>
    <row r="30" spans="1:10" x14ac:dyDescent="0.25">
      <c r="A30">
        <v>27</v>
      </c>
      <c r="B30" s="34" t="str">
        <f t="shared" si="0"/>
        <v>R</v>
      </c>
      <c r="C30" s="3">
        <f>IF(ISNA(+VLOOKUP($B30,Cuadro0!A:D,2,FALSE)),"",+VLOOKUP($B30,Cuadro0!A:D,2,FALSE))</f>
        <v>3</v>
      </c>
      <c r="D30" s="3">
        <f>IF(ISNA(+VLOOKUP($B30,Cuadro0!A:D,3,FALSE)),"",+VLOOKUP($B30,Cuadro0!A:D,3,FALSE))</f>
        <v>3</v>
      </c>
      <c r="E30" s="3">
        <f>IF(ISNA(+VLOOKUP($B30,Cuadro0!A:D,4,FALSE)),"",+VLOOKUP($B30,Cuadro0!A:D,4,FALSE))</f>
        <v>2</v>
      </c>
      <c r="F30" s="5"/>
      <c r="G30" s="3">
        <f>+IF(G$2=0,C30,IF(G$2=1,C28,IF(G$2=2,C29,"X")))</f>
        <v>3</v>
      </c>
      <c r="H30" s="3">
        <f>+IF(H$2=0,D30,IF(H$2=1,D28,IF(H$2=2,D29,"X")))</f>
        <v>3</v>
      </c>
      <c r="I30" s="3">
        <f>+IF(I$2=0,E30,IF(I$2=1,E28,IF(I$2=2,E29,"X")))</f>
        <v>1</v>
      </c>
      <c r="J30" s="8" t="str">
        <f>IF(ISNA(+VLOOKUP(_xlfn.CONCAT(G30:I30),Cuadro3!E:F,2,FALSE)),"",+VLOOKUP(_xlfn.CONCAT(G30:I30),Cuadro3!E:F,2,FALSE))</f>
        <v>C</v>
      </c>
    </row>
    <row r="31" spans="1:10" x14ac:dyDescent="0.25">
      <c r="A31">
        <v>28</v>
      </c>
      <c r="B31" s="33" t="str">
        <f t="shared" si="0"/>
        <v>E</v>
      </c>
      <c r="C31" s="10">
        <f>IF(ISNA(+VLOOKUP($B31,Cuadro0!A:D,2,FALSE)),"",+VLOOKUP($B31,Cuadro0!A:D,2,FALSE))</f>
        <v>2</v>
      </c>
      <c r="D31" s="10">
        <f>IF(ISNA(+VLOOKUP($B31,Cuadro0!A:D,3,FALSE)),"",+VLOOKUP($B31,Cuadro0!A:D,3,FALSE))</f>
        <v>2</v>
      </c>
      <c r="E31" s="10">
        <f>IF(ISNA(+VLOOKUP($B31,Cuadro0!A:D,4,FALSE)),"",+VLOOKUP($B31,Cuadro0!A:D,4,FALSE))</f>
        <v>1</v>
      </c>
      <c r="G31" s="10">
        <f>+IF(G$2=0,C31,IF(G$2=1,C32,IF(G$2=2,C33,"X")))</f>
        <v>2</v>
      </c>
      <c r="H31" s="10">
        <f>+IF(H$2=0,D31,IF(H$2=1,D32,IF(H$2=2,D33,"X")))</f>
        <v>1</v>
      </c>
      <c r="I31" s="10">
        <f>+IF(I$2=0,E31,IF(I$2=1,E32,IF(I$2=2,E33,"X")))</f>
        <v>2</v>
      </c>
      <c r="J31" s="6" t="str">
        <f>IF(ISNA(+VLOOKUP(_xlfn.CONCAT(G31:I31),Cuadro1!E:F,2,FALSE)),"",+VLOOKUP(_xlfn.CONCAT(G31:I31),Cuadro1!E:F,2,FALSE))</f>
        <v>G</v>
      </c>
    </row>
    <row r="32" spans="1:10" x14ac:dyDescent="0.25">
      <c r="A32">
        <v>29</v>
      </c>
      <c r="B32" s="33" t="str">
        <f t="shared" si="0"/>
        <v>T</v>
      </c>
      <c r="C32" s="10">
        <f>IF(ISNA(+VLOOKUP($B32,Cuadro0!A:D,2,FALSE)),"",+VLOOKUP($B32,Cuadro0!A:D,2,FALSE))</f>
        <v>2</v>
      </c>
      <c r="D32" s="10">
        <f>IF(ISNA(+VLOOKUP($B32,Cuadro0!A:D,3,FALSE)),"",+VLOOKUP($B32,Cuadro0!A:D,3,FALSE))</f>
        <v>1</v>
      </c>
      <c r="E32" s="10">
        <f>IF(ISNA(+VLOOKUP($B32,Cuadro0!A:D,4,FALSE)),"",+VLOOKUP($B32,Cuadro0!A:D,4,FALSE))</f>
        <v>3</v>
      </c>
      <c r="F32" s="10"/>
      <c r="G32" s="10">
        <f>+IF(G$2=0,C32,IF(G$2=1,C33,IF(G$2=2,C31,"X")))</f>
        <v>2</v>
      </c>
      <c r="H32" s="10">
        <f>+IF(H$2=0,D32,IF(H$2=1,D33,IF(H$2=2,D31,"X")))</f>
        <v>2</v>
      </c>
      <c r="I32" s="10">
        <f>+IF(I$2=0,E32,IF(I$2=1,E33,IF(I$2=2,E31,"X")))</f>
        <v>1</v>
      </c>
      <c r="J32" s="7" t="str">
        <f>+IF(ISNA(+VLOOKUP(_xlfn.CONCAT(G32:I32),Cuadro2!E:F,2,FALSE)),"",+VLOOKUP(_xlfn.CONCAT(G32:I32),Cuadro2!E:F,2,FALSE))</f>
        <v>A</v>
      </c>
    </row>
    <row r="33" spans="1:10" x14ac:dyDescent="0.25">
      <c r="A33">
        <v>30</v>
      </c>
      <c r="B33" s="34" t="str">
        <f t="shared" si="0"/>
        <v>O</v>
      </c>
      <c r="C33" s="3">
        <f>IF(ISNA(+VLOOKUP($B33,Cuadro0!A:D,2,FALSE)),"",+VLOOKUP($B33,Cuadro0!A:D,2,FALSE))</f>
        <v>3</v>
      </c>
      <c r="D33" s="3">
        <f>IF(ISNA(+VLOOKUP($B33,Cuadro0!A:D,3,FALSE)),"",+VLOOKUP($B33,Cuadro0!A:D,3,FALSE))</f>
        <v>2</v>
      </c>
      <c r="E33" s="3">
        <f>IF(ISNA(+VLOOKUP($B33,Cuadro0!A:D,4,FALSE)),"",+VLOOKUP($B33,Cuadro0!A:D,4,FALSE))</f>
        <v>2</v>
      </c>
      <c r="F33" s="5"/>
      <c r="G33" s="3">
        <f>+IF(G$2=0,C33,IF(G$2=1,C31,IF(G$2=2,C32,"X")))</f>
        <v>3</v>
      </c>
      <c r="H33" s="3">
        <f>+IF(H$2=0,D33,IF(H$2=1,D31,IF(H$2=2,D32,"X")))</f>
        <v>2</v>
      </c>
      <c r="I33" s="3">
        <f>+IF(I$2=0,E33,IF(I$2=1,E31,IF(I$2=2,E32,"X")))</f>
        <v>3</v>
      </c>
      <c r="J33" s="8" t="str">
        <f>IF(ISNA(+VLOOKUP(_xlfn.CONCAT(G33:I33),Cuadro3!E:F,2,FALSE)),"",+VLOOKUP(_xlfn.CONCAT(G33:I33),Cuadro3!E:F,2,FALSE))</f>
        <v>Y</v>
      </c>
    </row>
    <row r="34" spans="1:10" x14ac:dyDescent="0.25">
      <c r="A34">
        <v>31</v>
      </c>
      <c r="B34" s="33" t="str">
        <f t="shared" si="0"/>
        <v>S</v>
      </c>
      <c r="C34" s="10">
        <f>IF(ISNA(+VLOOKUP($B34,Cuadro0!A:D,2,FALSE)),"",+VLOOKUP($B34,Cuadro0!A:D,2,FALSE))</f>
        <v>1</v>
      </c>
      <c r="D34" s="10">
        <f>IF(ISNA(+VLOOKUP($B34,Cuadro0!A:D,3,FALSE)),"",+VLOOKUP($B34,Cuadro0!A:D,3,FALSE))</f>
        <v>1</v>
      </c>
      <c r="E34" s="10">
        <f>IF(ISNA(+VLOOKUP($B34,Cuadro0!A:D,4,FALSE)),"",+VLOOKUP($B34,Cuadro0!A:D,4,FALSE))</f>
        <v>3</v>
      </c>
      <c r="G34" s="10">
        <f>+IF(G$2=0,C34,IF(G$2=1,C35,IF(G$2=2,C36,"X")))</f>
        <v>1</v>
      </c>
      <c r="H34" s="10">
        <f>+IF(H$2=0,D34,IF(H$2=1,D35,IF(H$2=2,D36,"X")))</f>
        <v>1</v>
      </c>
      <c r="I34" s="10">
        <f>+IF(I$2=0,E34,IF(I$2=1,E35,IF(I$2=2,E36,"X")))</f>
        <v>1</v>
      </c>
      <c r="J34" s="6" t="str">
        <f>IF(ISNA(+VLOOKUP(_xlfn.CONCAT(G34:I34),Cuadro1!E:F,2,FALSE)),"",+VLOOKUP(_xlfn.CONCAT(G34:I34),Cuadro1!E:F,2,FALSE))</f>
        <v>M</v>
      </c>
    </row>
    <row r="35" spans="1:10" x14ac:dyDescent="0.25">
      <c r="A35">
        <v>32</v>
      </c>
      <c r="B35" s="33" t="str">
        <f t="shared" si="0"/>
        <v>T</v>
      </c>
      <c r="C35" s="10">
        <f>IF(ISNA(+VLOOKUP($B35,Cuadro0!A:D,2,FALSE)),"",+VLOOKUP($B35,Cuadro0!A:D,2,FALSE))</f>
        <v>2</v>
      </c>
      <c r="D35" s="10">
        <f>IF(ISNA(+VLOOKUP($B35,Cuadro0!A:D,3,FALSE)),"",+VLOOKUP($B35,Cuadro0!A:D,3,FALSE))</f>
        <v>1</v>
      </c>
      <c r="E35" s="10">
        <f>IF(ISNA(+VLOOKUP($B35,Cuadro0!A:D,4,FALSE)),"",+VLOOKUP($B35,Cuadro0!A:D,4,FALSE))</f>
        <v>3</v>
      </c>
      <c r="F35" s="10"/>
      <c r="G35" s="10">
        <f>+IF(G$2=0,C35,IF(G$2=1,C36,IF(G$2=2,C34,"X")))</f>
        <v>2</v>
      </c>
      <c r="H35" s="10">
        <f>+IF(H$2=0,D35,IF(H$2=1,D36,IF(H$2=2,D34,"X")))</f>
        <v>1</v>
      </c>
      <c r="I35" s="10">
        <f>+IF(I$2=0,E35,IF(I$2=1,E36,IF(I$2=2,E34,"X")))</f>
        <v>3</v>
      </c>
      <c r="J35" s="7" t="str">
        <f>+IF(ISNA(+VLOOKUP(_xlfn.CONCAT(G35:I35),Cuadro2!E:F,2,FALSE)),"",+VLOOKUP(_xlfn.CONCAT(G35:I35),Cuadro2!E:F,2,FALSE))</f>
        <v>T</v>
      </c>
    </row>
    <row r="36" spans="1:10" x14ac:dyDescent="0.25">
      <c r="A36">
        <v>33</v>
      </c>
      <c r="B36" s="34" t="str">
        <f t="shared" ref="B36:B67" si="1">+MID($N$1,A36,1)</f>
        <v>A</v>
      </c>
      <c r="C36" s="3">
        <f>IF(ISNA(+VLOOKUP($B36,Cuadro0!A:D,2,FALSE)),"",+VLOOKUP($B36,Cuadro0!A:D,2,FALSE))</f>
        <v>1</v>
      </c>
      <c r="D36" s="3">
        <f>IF(ISNA(+VLOOKUP($B36,Cuadro0!A:D,3,FALSE)),"",+VLOOKUP($B36,Cuadro0!A:D,3,FALSE))</f>
        <v>1</v>
      </c>
      <c r="E36" s="3">
        <f>IF(ISNA(+VLOOKUP($B36,Cuadro0!A:D,4,FALSE)),"",+VLOOKUP($B36,Cuadro0!A:D,4,FALSE))</f>
        <v>1</v>
      </c>
      <c r="F36" s="5"/>
      <c r="G36" s="3">
        <f>+IF(G$2=0,C36,IF(G$2=1,C34,IF(G$2=2,C35,"X")))</f>
        <v>1</v>
      </c>
      <c r="H36" s="3">
        <f>+IF(H$2=0,D36,IF(H$2=1,D34,IF(H$2=2,D35,"X")))</f>
        <v>1</v>
      </c>
      <c r="I36" s="3">
        <f>+IF(I$2=0,E36,IF(I$2=1,E34,IF(I$2=2,E35,"X")))</f>
        <v>3</v>
      </c>
      <c r="J36" s="8" t="str">
        <f>IF(ISNA(+VLOOKUP(_xlfn.CONCAT(G36:I36),Cuadro3!E:F,2,FALSE)),"",+VLOOKUP(_xlfn.CONCAT(G36:I36),Cuadro3!E:F,2,FALSE))</f>
        <v>T</v>
      </c>
    </row>
    <row r="37" spans="1:10" x14ac:dyDescent="0.25">
      <c r="A37">
        <v>34</v>
      </c>
      <c r="B37" s="33" t="str">
        <f t="shared" si="1"/>
        <v>R</v>
      </c>
      <c r="C37" s="10">
        <f>IF(ISNA(+VLOOKUP($B37,Cuadro0!A:D,2,FALSE)),"",+VLOOKUP($B37,Cuadro0!A:D,2,FALSE))</f>
        <v>3</v>
      </c>
      <c r="D37" s="10">
        <f>IF(ISNA(+VLOOKUP($B37,Cuadro0!A:D,3,FALSE)),"",+VLOOKUP($B37,Cuadro0!A:D,3,FALSE))</f>
        <v>3</v>
      </c>
      <c r="E37" s="10">
        <f>IF(ISNA(+VLOOKUP($B37,Cuadro0!A:D,4,FALSE)),"",+VLOOKUP($B37,Cuadro0!A:D,4,FALSE))</f>
        <v>2</v>
      </c>
      <c r="G37" s="10">
        <f>+IF(G$2=0,C37,IF(G$2=1,C38,IF(G$2=2,C39,"X")))</f>
        <v>3</v>
      </c>
      <c r="H37" s="10">
        <f>+IF(H$2=0,D37,IF(H$2=1,D38,IF(H$2=2,D39,"X")))</f>
        <v>1</v>
      </c>
      <c r="I37" s="10">
        <f>+IF(I$2=0,E37,IF(I$2=1,E38,IF(I$2=2,E39,"X")))</f>
        <v>3</v>
      </c>
      <c r="J37" s="6" t="str">
        <f>IF(ISNA(+VLOOKUP(_xlfn.CONCAT(G37:I37),Cuadro1!E:F,2,FALSE)),"",+VLOOKUP(_xlfn.CONCAT(G37:I37),Cuadro1!E:F,2,FALSE))</f>
        <v>U</v>
      </c>
    </row>
    <row r="38" spans="1:10" x14ac:dyDescent="0.25">
      <c r="A38">
        <v>35</v>
      </c>
      <c r="B38" s="33" t="str">
        <f t="shared" si="1"/>
        <v>T</v>
      </c>
      <c r="C38" s="10">
        <f>IF(ISNA(+VLOOKUP($B38,Cuadro0!A:D,2,FALSE)),"",+VLOOKUP($B38,Cuadro0!A:D,2,FALSE))</f>
        <v>2</v>
      </c>
      <c r="D38" s="10">
        <f>IF(ISNA(+VLOOKUP($B38,Cuadro0!A:D,3,FALSE)),"",+VLOOKUP($B38,Cuadro0!A:D,3,FALSE))</f>
        <v>1</v>
      </c>
      <c r="E38" s="10">
        <f>IF(ISNA(+VLOOKUP($B38,Cuadro0!A:D,4,FALSE)),"",+VLOOKUP($B38,Cuadro0!A:D,4,FALSE))</f>
        <v>3</v>
      </c>
      <c r="F38" s="10"/>
      <c r="G38" s="10">
        <f>+IF(G$2=0,C38,IF(G$2=1,C39,IF(G$2=2,C37,"X")))</f>
        <v>2</v>
      </c>
      <c r="H38" s="10">
        <f>+IF(H$2=0,D38,IF(H$2=1,D39,IF(H$2=2,D37,"X")))</f>
        <v>1</v>
      </c>
      <c r="I38" s="10">
        <f>+IF(I$2=0,E38,IF(I$2=1,E39,IF(I$2=2,E37,"X")))</f>
        <v>2</v>
      </c>
      <c r="J38" s="7" t="str">
        <f>+IF(ISNA(+VLOOKUP(_xlfn.CONCAT(G38:I38),Cuadro2!E:F,2,FALSE)),"",+VLOOKUP(_xlfn.CONCAT(G38:I38),Cuadro2!E:F,2,FALSE))</f>
        <v>K</v>
      </c>
    </row>
    <row r="39" spans="1:10" x14ac:dyDescent="0.25">
      <c r="A39">
        <v>36</v>
      </c>
      <c r="B39" s="34" t="str">
        <f t="shared" si="1"/>
        <v>S</v>
      </c>
      <c r="C39" s="3">
        <f>IF(ISNA(+VLOOKUP($B39,Cuadro0!A:D,2,FALSE)),"",+VLOOKUP($B39,Cuadro0!A:D,2,FALSE))</f>
        <v>1</v>
      </c>
      <c r="D39" s="3">
        <f>IF(ISNA(+VLOOKUP($B39,Cuadro0!A:D,3,FALSE)),"",+VLOOKUP($B39,Cuadro0!A:D,3,FALSE))</f>
        <v>1</v>
      </c>
      <c r="E39" s="3">
        <f>IF(ISNA(+VLOOKUP($B39,Cuadro0!A:D,4,FALSE)),"",+VLOOKUP($B39,Cuadro0!A:D,4,FALSE))</f>
        <v>3</v>
      </c>
      <c r="F39" s="5"/>
      <c r="G39" s="3">
        <f>+IF(G$2=0,C39,IF(G$2=1,C37,IF(G$2=2,C38,"X")))</f>
        <v>1</v>
      </c>
      <c r="H39" s="3">
        <f>+IF(H$2=0,D39,IF(H$2=1,D37,IF(H$2=2,D38,"X")))</f>
        <v>3</v>
      </c>
      <c r="I39" s="3">
        <f>+IF(I$2=0,E39,IF(I$2=1,E37,IF(I$2=2,E38,"X")))</f>
        <v>3</v>
      </c>
      <c r="J39" s="8" t="str">
        <f>IF(ISNA(+VLOOKUP(_xlfn.CONCAT(G39:I39),Cuadro3!E:F,2,FALSE)),"",+VLOOKUP(_xlfn.CONCAT(G39:I39),Cuadro3!E:F,2,FALSE))</f>
        <v>O</v>
      </c>
    </row>
    <row r="40" spans="1:10" x14ac:dyDescent="0.25">
      <c r="A40">
        <v>37</v>
      </c>
      <c r="B40" s="33" t="str">
        <f t="shared" si="1"/>
        <v>O</v>
      </c>
      <c r="C40" s="10">
        <f>IF(ISNA(+VLOOKUP($B40,Cuadro0!A:D,2,FALSE)),"",+VLOOKUP($B40,Cuadro0!A:D,2,FALSE))</f>
        <v>3</v>
      </c>
      <c r="D40" s="10">
        <f>IF(ISNA(+VLOOKUP($B40,Cuadro0!A:D,3,FALSE)),"",+VLOOKUP($B40,Cuadro0!A:D,3,FALSE))</f>
        <v>2</v>
      </c>
      <c r="E40" s="10">
        <f>IF(ISNA(+VLOOKUP($B40,Cuadro0!A:D,4,FALSE)),"",+VLOOKUP($B40,Cuadro0!A:D,4,FALSE))</f>
        <v>2</v>
      </c>
      <c r="G40" s="10">
        <f>+IF(G$2=0,C40,IF(G$2=1,C41,IF(G$2=2,C42,"X")))</f>
        <v>3</v>
      </c>
      <c r="H40" s="10">
        <f>+IF(H$2=0,D40,IF(H$2=1,D41,IF(H$2=2,D42,"X")))</f>
        <v>3</v>
      </c>
      <c r="I40" s="10">
        <f>+IF(I$2=0,E40,IF(I$2=1,E41,IF(I$2=2,E42,"X")))</f>
        <v>2</v>
      </c>
      <c r="J40" s="6" t="str">
        <f>IF(ISNA(+VLOOKUP(_xlfn.CONCAT(G40:I40),Cuadro1!E:F,2,FALSE)),"",+VLOOKUP(_xlfn.CONCAT(G40:I40),Cuadro1!E:F,2,FALSE))</f>
        <v>Q</v>
      </c>
    </row>
    <row r="41" spans="1:10" x14ac:dyDescent="0.25">
      <c r="A41">
        <v>38</v>
      </c>
      <c r="B41" s="33" t="str">
        <f t="shared" si="1"/>
        <v>H</v>
      </c>
      <c r="C41" s="10">
        <f>IF(ISNA(+VLOOKUP($B41,Cuadro0!A:D,2,FALSE)),"",+VLOOKUP($B41,Cuadro0!A:D,2,FALSE))</f>
        <v>2</v>
      </c>
      <c r="D41" s="10">
        <f>IF(ISNA(+VLOOKUP($B41,Cuadro0!A:D,3,FALSE)),"",+VLOOKUP($B41,Cuadro0!A:D,3,FALSE))</f>
        <v>3</v>
      </c>
      <c r="E41" s="10">
        <f>IF(ISNA(+VLOOKUP($B41,Cuadro0!A:D,4,FALSE)),"",+VLOOKUP($B41,Cuadro0!A:D,4,FALSE))</f>
        <v>1</v>
      </c>
      <c r="F41" s="10"/>
      <c r="G41" s="10">
        <f>+IF(G$2=0,C41,IF(G$2=1,C42,IF(G$2=2,C40,"X")))</f>
        <v>2</v>
      </c>
      <c r="H41" s="10">
        <f>+IF(H$2=0,D41,IF(H$2=1,D42,IF(H$2=2,D40,"X")))</f>
        <v>2</v>
      </c>
      <c r="I41" s="10">
        <f>+IF(I$2=0,E41,IF(I$2=1,E42,IF(I$2=2,E40,"X")))</f>
        <v>2</v>
      </c>
      <c r="J41" s="7" t="str">
        <f>+IF(ISNA(+VLOOKUP(_xlfn.CONCAT(G41:I41),Cuadro2!E:F,2,FALSE)),"",+VLOOKUP(_xlfn.CONCAT(G41:I41),Cuadro2!E:F,2,FALSE))</f>
        <v>H</v>
      </c>
    </row>
    <row r="42" spans="1:10" x14ac:dyDescent="0.25">
      <c r="A42">
        <v>39</v>
      </c>
      <c r="B42" s="34" t="str">
        <f t="shared" si="1"/>
        <v>O</v>
      </c>
      <c r="C42" s="3">
        <f>IF(ISNA(+VLOOKUP($B42,Cuadro0!A:D,2,FALSE)),"",+VLOOKUP($B42,Cuadro0!A:D,2,FALSE))</f>
        <v>3</v>
      </c>
      <c r="D42" s="3">
        <f>IF(ISNA(+VLOOKUP($B42,Cuadro0!A:D,3,FALSE)),"",+VLOOKUP($B42,Cuadro0!A:D,3,FALSE))</f>
        <v>2</v>
      </c>
      <c r="E42" s="3">
        <f>IF(ISNA(+VLOOKUP($B42,Cuadro0!A:D,4,FALSE)),"",+VLOOKUP($B42,Cuadro0!A:D,4,FALSE))</f>
        <v>2</v>
      </c>
      <c r="F42" s="5"/>
      <c r="G42" s="3">
        <f>+IF(G$2=0,C42,IF(G$2=1,C40,IF(G$2=2,C41,"X")))</f>
        <v>3</v>
      </c>
      <c r="H42" s="3">
        <f>+IF(H$2=0,D42,IF(H$2=1,D40,IF(H$2=2,D41,"X")))</f>
        <v>2</v>
      </c>
      <c r="I42" s="3">
        <f>+IF(I$2=0,E42,IF(I$2=1,E40,IF(I$2=2,E41,"X")))</f>
        <v>1</v>
      </c>
      <c r="J42" s="8" t="str">
        <f>IF(ISNA(+VLOOKUP(_xlfn.CONCAT(G42:I42),Cuadro3!E:F,2,FALSE)),"",+VLOOKUP(_xlfn.CONCAT(G42:I42),Cuadro3!E:F,2,FALSE))</f>
        <v>K</v>
      </c>
    </row>
    <row r="43" spans="1:10" x14ac:dyDescent="0.25">
      <c r="A43">
        <v>40</v>
      </c>
      <c r="B43" s="33" t="str">
        <f t="shared" si="1"/>
        <v>P</v>
      </c>
      <c r="C43" s="10">
        <f>IF(ISNA(+VLOOKUP($B43,Cuadro0!A:D,2,FALSE)),"",+VLOOKUP($B43,Cuadro0!A:D,2,FALSE))</f>
        <v>1</v>
      </c>
      <c r="D43" s="10">
        <f>IF(ISNA(+VLOOKUP($B43,Cuadro0!A:D,3,FALSE)),"",+VLOOKUP($B43,Cuadro0!A:D,3,FALSE))</f>
        <v>3</v>
      </c>
      <c r="E43" s="10">
        <f>IF(ISNA(+VLOOKUP($B43,Cuadro0!A:D,4,FALSE)),"",+VLOOKUP($B43,Cuadro0!A:D,4,FALSE))</f>
        <v>2</v>
      </c>
      <c r="G43" s="10">
        <f>+IF(G$2=0,C43,IF(G$2=1,C44,IF(G$2=2,C45,"X")))</f>
        <v>1</v>
      </c>
      <c r="H43" s="10">
        <f>+IF(H$2=0,D43,IF(H$2=1,D44,IF(H$2=2,D45,"X")))</f>
        <v>2</v>
      </c>
      <c r="I43" s="10">
        <f>+IF(I$2=0,E43,IF(I$2=1,E44,IF(I$2=2,E45,"X")))</f>
        <v>1</v>
      </c>
      <c r="J43" s="6" t="str">
        <f>IF(ISNA(+VLOOKUP(_xlfn.CONCAT(G43:I43),Cuadro1!E:F,2,FALSE)),"",+VLOOKUP(_xlfn.CONCAT(G43:I43),Cuadro1!E:F,2,FALSE))</f>
        <v>B</v>
      </c>
    </row>
    <row r="44" spans="1:10" x14ac:dyDescent="0.25">
      <c r="A44">
        <v>41</v>
      </c>
      <c r="B44" s="33" t="str">
        <f t="shared" si="1"/>
        <v>E</v>
      </c>
      <c r="C44" s="10">
        <f>IF(ISNA(+VLOOKUP($B44,Cuadro0!A:D,2,FALSE)),"",+VLOOKUP($B44,Cuadro0!A:D,2,FALSE))</f>
        <v>2</v>
      </c>
      <c r="D44" s="10">
        <f>IF(ISNA(+VLOOKUP($B44,Cuadro0!A:D,3,FALSE)),"",+VLOOKUP($B44,Cuadro0!A:D,3,FALSE))</f>
        <v>2</v>
      </c>
      <c r="E44" s="10">
        <f>IF(ISNA(+VLOOKUP($B44,Cuadro0!A:D,4,FALSE)),"",+VLOOKUP($B44,Cuadro0!A:D,4,FALSE))</f>
        <v>1</v>
      </c>
      <c r="F44" s="10"/>
      <c r="G44" s="10">
        <f>+IF(G$2=0,C44,IF(G$2=1,C45,IF(G$2=2,C43,"X")))</f>
        <v>2</v>
      </c>
      <c r="H44" s="10">
        <f>+IF(H$2=0,D44,IF(H$2=1,D45,IF(H$2=2,D43,"X")))</f>
        <v>2</v>
      </c>
      <c r="I44" s="10">
        <f>+IF(I$2=0,E44,IF(I$2=1,E45,IF(I$2=2,E43,"X")))</f>
        <v>2</v>
      </c>
      <c r="J44" s="7" t="str">
        <f>+IF(ISNA(+VLOOKUP(_xlfn.CONCAT(G44:I44),Cuadro2!E:F,2,FALSE)),"",+VLOOKUP(_xlfn.CONCAT(G44:I44),Cuadro2!E:F,2,FALSE))</f>
        <v>H</v>
      </c>
    </row>
    <row r="45" spans="1:10" x14ac:dyDescent="0.25">
      <c r="A45">
        <v>42</v>
      </c>
      <c r="B45" s="34" t="str">
        <f t="shared" si="1"/>
        <v>F</v>
      </c>
      <c r="C45" s="3">
        <f>IF(ISNA(+VLOOKUP($B45,Cuadro0!A:D,2,FALSE)),"",+VLOOKUP($B45,Cuadro0!A:D,2,FALSE))</f>
        <v>3</v>
      </c>
      <c r="D45" s="3">
        <f>IF(ISNA(+VLOOKUP($B45,Cuadro0!A:D,3,FALSE)),"",+VLOOKUP($B45,Cuadro0!A:D,3,FALSE))</f>
        <v>2</v>
      </c>
      <c r="E45" s="3">
        <f>IF(ISNA(+VLOOKUP($B45,Cuadro0!A:D,4,FALSE)),"",+VLOOKUP($B45,Cuadro0!A:D,4,FALSE))</f>
        <v>1</v>
      </c>
      <c r="F45" s="5"/>
      <c r="G45" s="3">
        <f>+IF(G$2=0,C45,IF(G$2=1,C43,IF(G$2=2,C44,"X")))</f>
        <v>3</v>
      </c>
      <c r="H45" s="3">
        <f>+IF(H$2=0,D45,IF(H$2=1,D43,IF(H$2=2,D44,"X")))</f>
        <v>3</v>
      </c>
      <c r="I45" s="3">
        <f>+IF(I$2=0,E45,IF(I$2=1,E43,IF(I$2=2,E44,"X")))</f>
        <v>1</v>
      </c>
      <c r="J45" s="8" t="str">
        <f>IF(ISNA(+VLOOKUP(_xlfn.CONCAT(G45:I45),Cuadro3!E:F,2,FALSE)),"",+VLOOKUP(_xlfn.CONCAT(G45:I45),Cuadro3!E:F,2,FALSE))</f>
        <v>C</v>
      </c>
    </row>
    <row r="46" spans="1:10" x14ac:dyDescent="0.25">
      <c r="A46">
        <v>43</v>
      </c>
      <c r="B46" s="33" t="str">
        <f t="shared" si="1"/>
        <v>U</v>
      </c>
      <c r="C46" s="10">
        <f>IF(ISNA(+VLOOKUP($B46,Cuadro0!A:D,2,FALSE)),"",+VLOOKUP($B46,Cuadro0!A:D,2,FALSE))</f>
        <v>3</v>
      </c>
      <c r="D46" s="10">
        <f>IF(ISNA(+VLOOKUP($B46,Cuadro0!A:D,3,FALSE)),"",+VLOOKUP($B46,Cuadro0!A:D,3,FALSE))</f>
        <v>1</v>
      </c>
      <c r="E46" s="10">
        <f>IF(ISNA(+VLOOKUP($B46,Cuadro0!A:D,4,FALSE)),"",+VLOOKUP($B46,Cuadro0!A:D,4,FALSE))</f>
        <v>3</v>
      </c>
      <c r="G46" s="10">
        <f>+IF(G$2=0,C46,IF(G$2=1,C47,IF(G$2=2,C48,"X")))</f>
        <v>3</v>
      </c>
      <c r="H46" s="10">
        <f>+IF(H$2=0,D46,IF(H$2=1,D47,IF(H$2=2,D48,"X")))</f>
        <v>1</v>
      </c>
      <c r="I46" s="10">
        <f>+IF(I$2=0,E46,IF(I$2=1,E47,IF(I$2=2,E48,"X")))</f>
        <v>2</v>
      </c>
      <c r="J46" s="6" t="str">
        <f>IF(ISNA(+VLOOKUP(_xlfn.CONCAT(G46:I46),Cuadro1!E:F,2,FALSE)),"",+VLOOKUP(_xlfn.CONCAT(G46:I46),Cuadro1!E:F,2,FALSE))</f>
        <v>I</v>
      </c>
    </row>
    <row r="47" spans="1:10" x14ac:dyDescent="0.25">
      <c r="A47">
        <v>44</v>
      </c>
      <c r="B47" s="33" t="str">
        <f t="shared" si="1"/>
        <v>L</v>
      </c>
      <c r="C47" s="10">
        <f>IF(ISNA(+VLOOKUP($B47,Cuadro0!A:D,2,FALSE)),"",+VLOOKUP($B47,Cuadro0!A:D,2,FALSE))</f>
        <v>3</v>
      </c>
      <c r="D47" s="10">
        <f>IF(ISNA(+VLOOKUP($B47,Cuadro0!A:D,3,FALSE)),"",+VLOOKUP($B47,Cuadro0!A:D,3,FALSE))</f>
        <v>1</v>
      </c>
      <c r="E47" s="10">
        <f>IF(ISNA(+VLOOKUP($B47,Cuadro0!A:D,4,FALSE)),"",+VLOOKUP($B47,Cuadro0!A:D,4,FALSE))</f>
        <v>2</v>
      </c>
      <c r="F47" s="10"/>
      <c r="G47" s="10">
        <f>+IF(G$2=0,C47,IF(G$2=1,C48,IF(G$2=2,C46,"X")))</f>
        <v>3</v>
      </c>
      <c r="H47" s="10">
        <f>+IF(H$2=0,D47,IF(H$2=1,D48,IF(H$2=2,D46,"X")))</f>
        <v>1</v>
      </c>
      <c r="I47" s="10">
        <f>+IF(I$2=0,E47,IF(I$2=1,E48,IF(I$2=2,E46,"X")))</f>
        <v>3</v>
      </c>
      <c r="J47" s="7" t="str">
        <f>+IF(ISNA(+VLOOKUP(_xlfn.CONCAT(G47:I47),Cuadro2!E:F,2,FALSE)),"",+VLOOKUP(_xlfn.CONCAT(G47:I47),Cuadro2!E:F,2,FALSE))</f>
        <v>X</v>
      </c>
    </row>
    <row r="48" spans="1:10" x14ac:dyDescent="0.25">
      <c r="A48">
        <v>45</v>
      </c>
      <c r="B48" s="34" t="str">
        <f t="shared" si="1"/>
        <v>L</v>
      </c>
      <c r="C48" s="3">
        <f>IF(ISNA(+VLOOKUP($B48,Cuadro0!A:D,2,FALSE)),"",+VLOOKUP($B48,Cuadro0!A:D,2,FALSE))</f>
        <v>3</v>
      </c>
      <c r="D48" s="3">
        <f>IF(ISNA(+VLOOKUP($B48,Cuadro0!A:D,3,FALSE)),"",+VLOOKUP($B48,Cuadro0!A:D,3,FALSE))</f>
        <v>1</v>
      </c>
      <c r="E48" s="3">
        <f>IF(ISNA(+VLOOKUP($B48,Cuadro0!A:D,4,FALSE)),"",+VLOOKUP($B48,Cuadro0!A:D,4,FALSE))</f>
        <v>2</v>
      </c>
      <c r="F48" s="5"/>
      <c r="G48" s="3">
        <f>+IF(G$2=0,C48,IF(G$2=1,C46,IF(G$2=2,C47,"X")))</f>
        <v>3</v>
      </c>
      <c r="H48" s="3">
        <f>+IF(H$2=0,D48,IF(H$2=1,D46,IF(H$2=2,D47,"X")))</f>
        <v>1</v>
      </c>
      <c r="I48" s="3">
        <f>+IF(I$2=0,E48,IF(I$2=1,E46,IF(I$2=2,E47,"X")))</f>
        <v>2</v>
      </c>
      <c r="J48" s="8" t="str">
        <f>IF(ISNA(+VLOOKUP(_xlfn.CONCAT(G48:I48),Cuadro3!E:F,2,FALSE)),"",+VLOOKUP(_xlfn.CONCAT(G48:I48),Cuadro3!E:F,2,FALSE))</f>
        <v>-</v>
      </c>
    </row>
    <row r="49" spans="1:10" x14ac:dyDescent="0.25">
      <c r="A49">
        <v>46</v>
      </c>
      <c r="B49" s="33" t="str">
        <f t="shared" si="1"/>
        <v>Y</v>
      </c>
      <c r="C49" s="10">
        <f>IF(ISNA(+VLOOKUP($B49,Cuadro0!A:D,2,FALSE)),"",+VLOOKUP($B49,Cuadro0!A:D,2,FALSE))</f>
        <v>1</v>
      </c>
      <c r="D49" s="10">
        <f>IF(ISNA(+VLOOKUP($B49,Cuadro0!A:D,3,FALSE)),"",+VLOOKUP($B49,Cuadro0!A:D,3,FALSE))</f>
        <v>3</v>
      </c>
      <c r="E49" s="10">
        <f>IF(ISNA(+VLOOKUP($B49,Cuadro0!A:D,4,FALSE)),"",+VLOOKUP($B49,Cuadro0!A:D,4,FALSE))</f>
        <v>3</v>
      </c>
      <c r="G49" s="10">
        <f>+IF(G$2=0,C49,IF(G$2=1,C50,IF(G$2=2,C51,"X")))</f>
        <v>1</v>
      </c>
      <c r="H49" s="10">
        <f>+IF(H$2=0,D49,IF(H$2=1,D50,IF(H$2=2,D51,"X")))</f>
        <v>1</v>
      </c>
      <c r="I49" s="10">
        <f>+IF(I$2=0,E49,IF(I$2=1,E50,IF(I$2=2,E51,"X")))</f>
        <v>1</v>
      </c>
      <c r="J49" s="6" t="str">
        <f>IF(ISNA(+VLOOKUP(_xlfn.CONCAT(G49:I49),Cuadro1!E:F,2,FALSE)),"",+VLOOKUP(_xlfn.CONCAT(G49:I49),Cuadro1!E:F,2,FALSE))</f>
        <v>M</v>
      </c>
    </row>
    <row r="50" spans="1:10" x14ac:dyDescent="0.25">
      <c r="A50">
        <v>47</v>
      </c>
      <c r="B50" s="33" t="str">
        <f t="shared" si="1"/>
        <v>T</v>
      </c>
      <c r="C50" s="10">
        <f>IF(ISNA(+VLOOKUP($B50,Cuadro0!A:D,2,FALSE)),"",+VLOOKUP($B50,Cuadro0!A:D,2,FALSE))</f>
        <v>2</v>
      </c>
      <c r="D50" s="10">
        <f>IF(ISNA(+VLOOKUP($B50,Cuadro0!A:D,3,FALSE)),"",+VLOOKUP($B50,Cuadro0!A:D,3,FALSE))</f>
        <v>1</v>
      </c>
      <c r="E50" s="10">
        <f>IF(ISNA(+VLOOKUP($B50,Cuadro0!A:D,4,FALSE)),"",+VLOOKUP($B50,Cuadro0!A:D,4,FALSE))</f>
        <v>3</v>
      </c>
      <c r="F50" s="10"/>
      <c r="G50" s="10">
        <f>+IF(G$2=0,C50,IF(G$2=1,C51,IF(G$2=2,C49,"X")))</f>
        <v>2</v>
      </c>
      <c r="H50" s="10">
        <f>+IF(H$2=0,D50,IF(H$2=1,D51,IF(H$2=2,D49,"X")))</f>
        <v>3</v>
      </c>
      <c r="I50" s="10">
        <f>+IF(I$2=0,E50,IF(I$2=1,E51,IF(I$2=2,E49,"X")))</f>
        <v>3</v>
      </c>
      <c r="J50" s="7" t="str">
        <f>+IF(ISNA(+VLOOKUP(_xlfn.CONCAT(G50:I50),Cuadro2!E:F,2,FALSE)),"",+VLOOKUP(_xlfn.CONCAT(G50:I50),Cuadro2!E:F,2,FALSE))</f>
        <v>R</v>
      </c>
    </row>
    <row r="51" spans="1:10" x14ac:dyDescent="0.25">
      <c r="A51">
        <v>48</v>
      </c>
      <c r="B51" s="34" t="str">
        <f t="shared" si="1"/>
        <v>H</v>
      </c>
      <c r="C51" s="3">
        <f>IF(ISNA(+VLOOKUP($B51,Cuadro0!A:D,2,FALSE)),"",+VLOOKUP($B51,Cuadro0!A:D,2,FALSE))</f>
        <v>2</v>
      </c>
      <c r="D51" s="3">
        <f>IF(ISNA(+VLOOKUP($B51,Cuadro0!A:D,3,FALSE)),"",+VLOOKUP($B51,Cuadro0!A:D,3,FALSE))</f>
        <v>3</v>
      </c>
      <c r="E51" s="3">
        <f>IF(ISNA(+VLOOKUP($B51,Cuadro0!A:D,4,FALSE)),"",+VLOOKUP($B51,Cuadro0!A:D,4,FALSE))</f>
        <v>1</v>
      </c>
      <c r="F51" s="5"/>
      <c r="G51" s="3">
        <f>+IF(G$2=0,C51,IF(G$2=1,C49,IF(G$2=2,C50,"X")))</f>
        <v>2</v>
      </c>
      <c r="H51" s="3">
        <f>+IF(H$2=0,D51,IF(H$2=1,D49,IF(H$2=2,D50,"X")))</f>
        <v>3</v>
      </c>
      <c r="I51" s="3">
        <f>+IF(I$2=0,E51,IF(I$2=1,E49,IF(I$2=2,E50,"X")))</f>
        <v>3</v>
      </c>
      <c r="J51" s="8" t="str">
        <f>IF(ISNA(+VLOOKUP(_xlfn.CONCAT(G51:I51),Cuadro3!E:F,2,FALSE)),"",+VLOOKUP(_xlfn.CONCAT(G51:I51),Cuadro3!E:F,2,FALSE))</f>
        <v>R</v>
      </c>
    </row>
    <row r="52" spans="1:10" x14ac:dyDescent="0.25">
      <c r="A52">
        <v>49</v>
      </c>
      <c r="B52" s="33" t="str">
        <f t="shared" si="1"/>
        <v>I</v>
      </c>
      <c r="C52" s="10">
        <f>IF(ISNA(+VLOOKUP($B52,Cuadro0!A:D,2,FALSE)),"",+VLOOKUP($B52,Cuadro0!A:D,2,FALSE))</f>
        <v>3</v>
      </c>
      <c r="D52" s="10">
        <f>IF(ISNA(+VLOOKUP($B52,Cuadro0!A:D,3,FALSE)),"",+VLOOKUP($B52,Cuadro0!A:D,3,FALSE))</f>
        <v>3</v>
      </c>
      <c r="E52" s="10">
        <f>IF(ISNA(+VLOOKUP($B52,Cuadro0!A:D,4,FALSE)),"",+VLOOKUP($B52,Cuadro0!A:D,4,FALSE))</f>
        <v>1</v>
      </c>
      <c r="G52" s="10">
        <f>+IF(G$2=0,C52,IF(G$2=1,C53,IF(G$2=2,C54,"X")))</f>
        <v>3</v>
      </c>
      <c r="H52" s="10">
        <f>+IF(H$2=0,D52,IF(H$2=1,D53,IF(H$2=2,D54,"X")))</f>
        <v>1</v>
      </c>
      <c r="I52" s="10">
        <f>+IF(I$2=0,E52,IF(I$2=1,E53,IF(I$2=2,E54,"X")))</f>
        <v>3</v>
      </c>
      <c r="J52" s="6" t="str">
        <f>IF(ISNA(+VLOOKUP(_xlfn.CONCAT(G52:I52),Cuadro1!E:F,2,FALSE)),"",+VLOOKUP(_xlfn.CONCAT(G52:I52),Cuadro1!E:F,2,FALSE))</f>
        <v>U</v>
      </c>
    </row>
    <row r="53" spans="1:10" x14ac:dyDescent="0.25">
      <c r="A53">
        <v>50</v>
      </c>
      <c r="B53" s="33" t="str">
        <f t="shared" si="1"/>
        <v>S</v>
      </c>
      <c r="C53" s="10">
        <f>IF(ISNA(+VLOOKUP($B53,Cuadro0!A:D,2,FALSE)),"",+VLOOKUP($B53,Cuadro0!A:D,2,FALSE))</f>
        <v>1</v>
      </c>
      <c r="D53" s="10">
        <f>IF(ISNA(+VLOOKUP($B53,Cuadro0!A:D,3,FALSE)),"",+VLOOKUP($B53,Cuadro0!A:D,3,FALSE))</f>
        <v>1</v>
      </c>
      <c r="E53" s="10">
        <f>IF(ISNA(+VLOOKUP($B53,Cuadro0!A:D,4,FALSE)),"",+VLOOKUP($B53,Cuadro0!A:D,4,FALSE))</f>
        <v>3</v>
      </c>
      <c r="F53" s="10"/>
      <c r="G53" s="10">
        <f>+IF(G$2=0,C53,IF(G$2=1,C54,IF(G$2=2,C52,"X")))</f>
        <v>1</v>
      </c>
      <c r="H53" s="10">
        <f>+IF(H$2=0,D53,IF(H$2=1,D54,IF(H$2=2,D52,"X")))</f>
        <v>2</v>
      </c>
      <c r="I53" s="10">
        <f>+IF(I$2=0,E53,IF(I$2=1,E54,IF(I$2=2,E52,"X")))</f>
        <v>1</v>
      </c>
      <c r="J53" s="7" t="str">
        <f>+IF(ISNA(+VLOOKUP(_xlfn.CONCAT(G53:I53),Cuadro2!E:F,2,FALSE)),"",+VLOOKUP(_xlfn.CONCAT(G53:I53),Cuadro2!E:F,2,FALSE))</f>
        <v>I</v>
      </c>
    </row>
    <row r="54" spans="1:10" x14ac:dyDescent="0.25">
      <c r="A54">
        <v>51</v>
      </c>
      <c r="B54" s="34" t="str">
        <f t="shared" si="1"/>
        <v>W</v>
      </c>
      <c r="C54" s="3">
        <f>IF(ISNA(+VLOOKUP($B54,Cuadro0!A:D,2,FALSE)),"",+VLOOKUP($B54,Cuadro0!A:D,2,FALSE))</f>
        <v>2</v>
      </c>
      <c r="D54" s="3">
        <f>IF(ISNA(+VLOOKUP($B54,Cuadro0!A:D,3,FALSE)),"",+VLOOKUP($B54,Cuadro0!A:D,3,FALSE))</f>
        <v>2</v>
      </c>
      <c r="E54" s="3">
        <f>IF(ISNA(+VLOOKUP($B54,Cuadro0!A:D,4,FALSE)),"",+VLOOKUP($B54,Cuadro0!A:D,4,FALSE))</f>
        <v>3</v>
      </c>
      <c r="F54" s="5"/>
      <c r="G54" s="3">
        <f>+IF(G$2=0,C54,IF(G$2=1,C52,IF(G$2=2,C53,"X")))</f>
        <v>2</v>
      </c>
      <c r="H54" s="3">
        <f>+IF(H$2=0,D54,IF(H$2=1,D52,IF(H$2=2,D53,"X")))</f>
        <v>3</v>
      </c>
      <c r="I54" s="3">
        <f>+IF(I$2=0,E54,IF(I$2=1,E52,IF(I$2=2,E53,"X")))</f>
        <v>3</v>
      </c>
      <c r="J54" s="8" t="str">
        <f>IF(ISNA(+VLOOKUP(_xlfn.CONCAT(G54:I54),Cuadro3!E:F,2,FALSE)),"",+VLOOKUP(_xlfn.CONCAT(G54:I54),Cuadro3!E:F,2,FALSE))</f>
        <v>R</v>
      </c>
    </row>
    <row r="55" spans="1:10" x14ac:dyDescent="0.25">
      <c r="A55">
        <v>52</v>
      </c>
      <c r="B55" s="33" t="str">
        <f t="shared" si="1"/>
        <v>I</v>
      </c>
      <c r="C55" s="10">
        <f>IF(ISNA(+VLOOKUP($B55,Cuadro0!A:D,2,FALSE)),"",+VLOOKUP($B55,Cuadro0!A:D,2,FALSE))</f>
        <v>3</v>
      </c>
      <c r="D55" s="10">
        <f>IF(ISNA(+VLOOKUP($B55,Cuadro0!A:D,3,FALSE)),"",+VLOOKUP($B55,Cuadro0!A:D,3,FALSE))</f>
        <v>3</v>
      </c>
      <c r="E55" s="10">
        <f>IF(ISNA(+VLOOKUP($B55,Cuadro0!A:D,4,FALSE)),"",+VLOOKUP($B55,Cuadro0!A:D,4,FALSE))</f>
        <v>1</v>
      </c>
      <c r="G55" s="10">
        <f>+IF(G$2=0,C55,IF(G$2=1,C56,IF(G$2=2,C57,"X")))</f>
        <v>3</v>
      </c>
      <c r="H55" s="10">
        <f>+IF(H$2=0,D55,IF(H$2=1,D56,IF(H$2=2,D57,"X")))</f>
        <v>1</v>
      </c>
      <c r="I55" s="10">
        <f>+IF(I$2=0,E55,IF(I$2=1,E56,IF(I$2=2,E57,"X")))</f>
        <v>2</v>
      </c>
      <c r="J55" s="6" t="str">
        <f>IF(ISNA(+VLOOKUP(_xlfn.CONCAT(G55:I55),Cuadro1!E:F,2,FALSE)),"",+VLOOKUP(_xlfn.CONCAT(G55:I55),Cuadro1!E:F,2,FALSE))</f>
        <v>I</v>
      </c>
    </row>
    <row r="56" spans="1:10" x14ac:dyDescent="0.25">
      <c r="A56">
        <v>53</v>
      </c>
      <c r="B56" s="33" t="str">
        <f t="shared" si="1"/>
        <v>L</v>
      </c>
      <c r="C56" s="10">
        <f>IF(ISNA(+VLOOKUP($B56,Cuadro0!A:D,2,FALSE)),"",+VLOOKUP($B56,Cuadro0!A:D,2,FALSE))</f>
        <v>3</v>
      </c>
      <c r="D56" s="10">
        <f>IF(ISNA(+VLOOKUP($B56,Cuadro0!A:D,3,FALSE)),"",+VLOOKUP($B56,Cuadro0!A:D,3,FALSE))</f>
        <v>1</v>
      </c>
      <c r="E56" s="10">
        <f>IF(ISNA(+VLOOKUP($B56,Cuadro0!A:D,4,FALSE)),"",+VLOOKUP($B56,Cuadro0!A:D,4,FALSE))</f>
        <v>2</v>
      </c>
      <c r="F56" s="10"/>
      <c r="G56" s="10">
        <f>+IF(G$2=0,C56,IF(G$2=1,C57,IF(G$2=2,C55,"X")))</f>
        <v>3</v>
      </c>
      <c r="H56" s="10">
        <f>+IF(H$2=0,D56,IF(H$2=1,D57,IF(H$2=2,D55,"X")))</f>
        <v>1</v>
      </c>
      <c r="I56" s="10">
        <f>+IF(I$2=0,E56,IF(I$2=1,E57,IF(I$2=2,E55,"X")))</f>
        <v>1</v>
      </c>
      <c r="J56" s="7" t="str">
        <f>+IF(ISNA(+VLOOKUP(_xlfn.CONCAT(G56:I56),Cuadro2!E:F,2,FALSE)),"",+VLOOKUP(_xlfn.CONCAT(G56:I56),Cuadro2!E:F,2,FALSE))</f>
        <v>J</v>
      </c>
    </row>
    <row r="57" spans="1:10" x14ac:dyDescent="0.25">
      <c r="A57">
        <v>54</v>
      </c>
      <c r="B57" s="34" t="str">
        <f t="shared" si="1"/>
        <v>L</v>
      </c>
      <c r="C57" s="3">
        <f>IF(ISNA(+VLOOKUP($B57,Cuadro0!A:D,2,FALSE)),"",+VLOOKUP($B57,Cuadro0!A:D,2,FALSE))</f>
        <v>3</v>
      </c>
      <c r="D57" s="3">
        <f>IF(ISNA(+VLOOKUP($B57,Cuadro0!A:D,3,FALSE)),"",+VLOOKUP($B57,Cuadro0!A:D,3,FALSE))</f>
        <v>1</v>
      </c>
      <c r="E57" s="3">
        <f>IF(ISNA(+VLOOKUP($B57,Cuadro0!A:D,4,FALSE)),"",+VLOOKUP($B57,Cuadro0!A:D,4,FALSE))</f>
        <v>2</v>
      </c>
      <c r="F57" s="5"/>
      <c r="G57" s="3">
        <f>+IF(G$2=0,C57,IF(G$2=1,C55,IF(G$2=2,C56,"X")))</f>
        <v>3</v>
      </c>
      <c r="H57" s="3">
        <f>+IF(H$2=0,D57,IF(H$2=1,D55,IF(H$2=2,D56,"X")))</f>
        <v>3</v>
      </c>
      <c r="I57" s="3">
        <f>+IF(I$2=0,E57,IF(I$2=1,E55,IF(I$2=2,E56,"X")))</f>
        <v>2</v>
      </c>
      <c r="J57" s="8" t="str">
        <f>IF(ISNA(+VLOOKUP(_xlfn.CONCAT(G57:I57),Cuadro3!E:F,2,FALSE)),"",+VLOOKUP(_xlfn.CONCAT(G57:I57),Cuadro3!E:F,2,FALSE))</f>
        <v>Z</v>
      </c>
    </row>
    <row r="58" spans="1:10" x14ac:dyDescent="0.25">
      <c r="A58">
        <v>55</v>
      </c>
      <c r="B58" s="33" t="str">
        <f t="shared" si="1"/>
        <v>A</v>
      </c>
      <c r="C58" s="10">
        <f>IF(ISNA(+VLOOKUP($B58,Cuadro0!A:D,2,FALSE)),"",+VLOOKUP($B58,Cuadro0!A:D,2,FALSE))</f>
        <v>1</v>
      </c>
      <c r="D58" s="10">
        <f>IF(ISNA(+VLOOKUP($B58,Cuadro0!A:D,3,FALSE)),"",+VLOOKUP($B58,Cuadro0!A:D,3,FALSE))</f>
        <v>1</v>
      </c>
      <c r="E58" s="10">
        <f>IF(ISNA(+VLOOKUP($B58,Cuadro0!A:D,4,FALSE)),"",+VLOOKUP($B58,Cuadro0!A:D,4,FALSE))</f>
        <v>1</v>
      </c>
      <c r="G58" s="10">
        <f>+IF(G$2=0,C58,IF(G$2=1,C59,IF(G$2=2,C60,"X")))</f>
        <v>1</v>
      </c>
      <c r="H58" s="10">
        <f>+IF(H$2=0,D58,IF(H$2=1,D59,IF(H$2=2,D60,"X")))</f>
        <v>1</v>
      </c>
      <c r="I58" s="10">
        <f>+IF(I$2=0,E58,IF(I$2=1,E59,IF(I$2=2,E60,"X")))</f>
        <v>3</v>
      </c>
      <c r="J58" s="6" t="str">
        <f>IF(ISNA(+VLOOKUP(_xlfn.CONCAT(G58:I58),Cuadro1!E:F,2,FALSE)),"",+VLOOKUP(_xlfn.CONCAT(G58:I58),Cuadro1!E:F,2,FALSE))</f>
        <v>Y</v>
      </c>
    </row>
    <row r="59" spans="1:10" x14ac:dyDescent="0.25">
      <c r="A59">
        <v>56</v>
      </c>
      <c r="B59" s="33" t="str">
        <f t="shared" si="1"/>
        <v>S</v>
      </c>
      <c r="C59" s="10">
        <f>IF(ISNA(+VLOOKUP($B59,Cuadro0!A:D,2,FALSE)),"",+VLOOKUP($B59,Cuadro0!A:D,2,FALSE))</f>
        <v>1</v>
      </c>
      <c r="D59" s="10">
        <f>IF(ISNA(+VLOOKUP($B59,Cuadro0!A:D,3,FALSE)),"",+VLOOKUP($B59,Cuadro0!A:D,3,FALSE))</f>
        <v>1</v>
      </c>
      <c r="E59" s="10">
        <f>IF(ISNA(+VLOOKUP($B59,Cuadro0!A:D,4,FALSE)),"",+VLOOKUP($B59,Cuadro0!A:D,4,FALSE))</f>
        <v>3</v>
      </c>
      <c r="F59" s="10"/>
      <c r="G59" s="10">
        <f>+IF(G$2=0,C59,IF(G$2=1,C60,IF(G$2=2,C58,"X")))</f>
        <v>1</v>
      </c>
      <c r="H59" s="10">
        <f>+IF(H$2=0,D59,IF(H$2=1,D60,IF(H$2=2,D58,"X")))</f>
        <v>1</v>
      </c>
      <c r="I59" s="10">
        <f>+IF(I$2=0,E59,IF(I$2=1,E60,IF(I$2=2,E58,"X")))</f>
        <v>1</v>
      </c>
      <c r="J59" s="7" t="str">
        <f>+IF(ISNA(+VLOOKUP(_xlfn.CONCAT(G59:I59),Cuadro2!E:F,2,FALSE)),"",+VLOOKUP(_xlfn.CONCAT(G59:I59),Cuadro2!E:F,2,FALSE))</f>
        <v>B</v>
      </c>
    </row>
    <row r="60" spans="1:10" x14ac:dyDescent="0.25">
      <c r="A60">
        <v>57</v>
      </c>
      <c r="B60" s="34" t="str">
        <f t="shared" si="1"/>
        <v>S</v>
      </c>
      <c r="C60" s="3">
        <f>IF(ISNA(+VLOOKUP($B60,Cuadro0!A:D,2,FALSE)),"",+VLOOKUP($B60,Cuadro0!A:D,2,FALSE))</f>
        <v>1</v>
      </c>
      <c r="D60" s="3">
        <f>IF(ISNA(+VLOOKUP($B60,Cuadro0!A:D,3,FALSE)),"",+VLOOKUP($B60,Cuadro0!A:D,3,FALSE))</f>
        <v>1</v>
      </c>
      <c r="E60" s="3">
        <f>IF(ISNA(+VLOOKUP($B60,Cuadro0!A:D,4,FALSE)),"",+VLOOKUP($B60,Cuadro0!A:D,4,FALSE))</f>
        <v>3</v>
      </c>
      <c r="F60" s="5"/>
      <c r="G60" s="3">
        <f>+IF(G$2=0,C60,IF(G$2=1,C58,IF(G$2=2,C59,"X")))</f>
        <v>1</v>
      </c>
      <c r="H60" s="3">
        <f>+IF(H$2=0,D60,IF(H$2=1,D58,IF(H$2=2,D59,"X")))</f>
        <v>1</v>
      </c>
      <c r="I60" s="3">
        <f>+IF(I$2=0,E60,IF(I$2=1,E58,IF(I$2=2,E59,"X")))</f>
        <v>3</v>
      </c>
      <c r="J60" s="8" t="str">
        <f>IF(ISNA(+VLOOKUP(_xlfn.CONCAT(G60:I60),Cuadro3!E:F,2,FALSE)),"",+VLOOKUP(_xlfn.CONCAT(G60:I60),Cuadro3!E:F,2,FALSE))</f>
        <v>T</v>
      </c>
    </row>
    <row r="61" spans="1:10" x14ac:dyDescent="0.25">
      <c r="A61">
        <v>58</v>
      </c>
      <c r="B61" s="33" t="str">
        <f t="shared" si="1"/>
        <v>I</v>
      </c>
      <c r="C61" s="10">
        <f>IF(ISNA(+VLOOKUP($B61,Cuadro0!A:D,2,FALSE)),"",+VLOOKUP($B61,Cuadro0!A:D,2,FALSE))</f>
        <v>3</v>
      </c>
      <c r="D61" s="10">
        <f>IF(ISNA(+VLOOKUP($B61,Cuadro0!A:D,3,FALSE)),"",+VLOOKUP($B61,Cuadro0!A:D,3,FALSE))</f>
        <v>3</v>
      </c>
      <c r="E61" s="10">
        <f>IF(ISNA(+VLOOKUP($B61,Cuadro0!A:D,4,FALSE)),"",+VLOOKUP($B61,Cuadro0!A:D,4,FALSE))</f>
        <v>1</v>
      </c>
      <c r="G61" s="10">
        <f>+IF(G$2=0,C61,IF(G$2=1,C62,IF(G$2=2,C63,"X")))</f>
        <v>3</v>
      </c>
      <c r="H61" s="10">
        <f>+IF(H$2=0,D61,IF(H$2=1,D62,IF(H$2=2,D63,"X")))</f>
        <v>1</v>
      </c>
      <c r="I61" s="10">
        <f>+IF(I$2=0,E61,IF(I$2=1,E62,IF(I$2=2,E63,"X")))</f>
        <v>3</v>
      </c>
      <c r="J61" s="6" t="str">
        <f>IF(ISNA(+VLOOKUP(_xlfn.CONCAT(G61:I61),Cuadro1!E:F,2,FALSE)),"",+VLOOKUP(_xlfn.CONCAT(G61:I61),Cuadro1!E:F,2,FALSE))</f>
        <v>U</v>
      </c>
    </row>
    <row r="62" spans="1:10" x14ac:dyDescent="0.25">
      <c r="A62">
        <v>59</v>
      </c>
      <c r="B62" s="33" t="str">
        <f t="shared" si="1"/>
        <v>S</v>
      </c>
      <c r="C62" s="10">
        <f>IF(ISNA(+VLOOKUP($B62,Cuadro0!A:D,2,FALSE)),"",+VLOOKUP($B62,Cuadro0!A:D,2,FALSE))</f>
        <v>1</v>
      </c>
      <c r="D62" s="10">
        <f>IF(ISNA(+VLOOKUP($B62,Cuadro0!A:D,3,FALSE)),"",+VLOOKUP($B62,Cuadro0!A:D,3,FALSE))</f>
        <v>1</v>
      </c>
      <c r="E62" s="10">
        <f>IF(ISNA(+VLOOKUP($B62,Cuadro0!A:D,4,FALSE)),"",+VLOOKUP($B62,Cuadro0!A:D,4,FALSE))</f>
        <v>3</v>
      </c>
      <c r="F62" s="10"/>
      <c r="G62" s="10">
        <f>+IF(G$2=0,C62,IF(G$2=1,C63,IF(G$2=2,C61,"X")))</f>
        <v>1</v>
      </c>
      <c r="H62" s="10">
        <f>+IF(H$2=0,D62,IF(H$2=1,D63,IF(H$2=2,D61,"X")))</f>
        <v>1</v>
      </c>
      <c r="I62" s="10">
        <f>+IF(I$2=0,E62,IF(I$2=1,E63,IF(I$2=2,E61,"X")))</f>
        <v>1</v>
      </c>
      <c r="J62" s="7" t="str">
        <f>+IF(ISNA(+VLOOKUP(_xlfn.CONCAT(G62:I62),Cuadro2!E:F,2,FALSE)),"",+VLOOKUP(_xlfn.CONCAT(G62:I62),Cuadro2!E:F,2,FALSE))</f>
        <v>B</v>
      </c>
    </row>
    <row r="63" spans="1:10" x14ac:dyDescent="0.25">
      <c r="A63">
        <v>60</v>
      </c>
      <c r="B63" s="34" t="str">
        <f t="shared" si="1"/>
        <v>T</v>
      </c>
      <c r="C63" s="3">
        <f>IF(ISNA(+VLOOKUP($B63,Cuadro0!A:D,2,FALSE)),"",+VLOOKUP($B63,Cuadro0!A:D,2,FALSE))</f>
        <v>2</v>
      </c>
      <c r="D63" s="3">
        <f>IF(ISNA(+VLOOKUP($B63,Cuadro0!A:D,3,FALSE)),"",+VLOOKUP($B63,Cuadro0!A:D,3,FALSE))</f>
        <v>1</v>
      </c>
      <c r="E63" s="3">
        <f>IF(ISNA(+VLOOKUP($B63,Cuadro0!A:D,4,FALSE)),"",+VLOOKUP($B63,Cuadro0!A:D,4,FALSE))</f>
        <v>3</v>
      </c>
      <c r="F63" s="5"/>
      <c r="G63" s="3">
        <f>+IF(G$2=0,C63,IF(G$2=1,C61,IF(G$2=2,C62,"X")))</f>
        <v>2</v>
      </c>
      <c r="H63" s="3">
        <f>+IF(H$2=0,D63,IF(H$2=1,D61,IF(H$2=2,D62,"X")))</f>
        <v>3</v>
      </c>
      <c r="I63" s="3">
        <f>+IF(I$2=0,E63,IF(I$2=1,E61,IF(I$2=2,E62,"X")))</f>
        <v>3</v>
      </c>
      <c r="J63" s="8" t="str">
        <f>IF(ISNA(+VLOOKUP(_xlfn.CONCAT(G63:I63),Cuadro3!E:F,2,FALSE)),"",+VLOOKUP(_xlfn.CONCAT(G63:I63),Cuadro3!E:F,2,FALSE))</f>
        <v>R</v>
      </c>
    </row>
    <row r="64" spans="1:10" x14ac:dyDescent="0.25">
      <c r="A64">
        <v>61</v>
      </c>
      <c r="B64" s="33" t="str">
        <f t="shared" si="1"/>
        <v>Y</v>
      </c>
      <c r="C64" s="10">
        <f>IF(ISNA(+VLOOKUP($B64,Cuadro0!A:D,2,FALSE)),"",+VLOOKUP($B64,Cuadro0!A:D,2,FALSE))</f>
        <v>1</v>
      </c>
      <c r="D64" s="10">
        <f>IF(ISNA(+VLOOKUP($B64,Cuadro0!A:D,3,FALSE)),"",+VLOOKUP($B64,Cuadro0!A:D,3,FALSE))</f>
        <v>3</v>
      </c>
      <c r="E64" s="10">
        <f>IF(ISNA(+VLOOKUP($B64,Cuadro0!A:D,4,FALSE)),"",+VLOOKUP($B64,Cuadro0!A:D,4,FALSE))</f>
        <v>3</v>
      </c>
      <c r="G64" s="10">
        <f>+IF(G$2=0,C64,IF(G$2=1,C65,IF(G$2=2,C66,"X")))</f>
        <v>1</v>
      </c>
      <c r="H64" s="10">
        <f>+IF(H$2=0,D64,IF(H$2=1,D65,IF(H$2=2,D66,"X")))</f>
        <v>2</v>
      </c>
      <c r="I64" s="10">
        <f>+IF(I$2=0,E64,IF(I$2=1,E65,IF(I$2=2,E66,"X")))</f>
        <v>3</v>
      </c>
      <c r="J64" s="6" t="str">
        <f>IF(ISNA(+VLOOKUP(_xlfn.CONCAT(G64:I64),Cuadro1!E:F,2,FALSE)),"",+VLOOKUP(_xlfn.CONCAT(G64:I64),Cuadro1!E:F,2,FALSE))</f>
        <v>S</v>
      </c>
    </row>
    <row r="65" spans="1:10" x14ac:dyDescent="0.25">
      <c r="A65">
        <v>62</v>
      </c>
      <c r="B65" s="33" t="str">
        <f t="shared" si="1"/>
        <v>O</v>
      </c>
      <c r="C65" s="10">
        <f>IF(ISNA(+VLOOKUP($B65,Cuadro0!A:D,2,FALSE)),"",+VLOOKUP($B65,Cuadro0!A:D,2,FALSE))</f>
        <v>3</v>
      </c>
      <c r="D65" s="10">
        <f>IF(ISNA(+VLOOKUP($B65,Cuadro0!A:D,3,FALSE)),"",+VLOOKUP($B65,Cuadro0!A:D,3,FALSE))</f>
        <v>2</v>
      </c>
      <c r="E65" s="10">
        <f>IF(ISNA(+VLOOKUP($B65,Cuadro0!A:D,4,FALSE)),"",+VLOOKUP($B65,Cuadro0!A:D,4,FALSE))</f>
        <v>2</v>
      </c>
      <c r="F65" s="10"/>
      <c r="G65" s="10">
        <f>+IF(G$2=0,C65,IF(G$2=1,C66,IF(G$2=2,C64,"X")))</f>
        <v>3</v>
      </c>
      <c r="H65" s="10">
        <f>+IF(H$2=0,D65,IF(H$2=1,D66,IF(H$2=2,D64,"X")))</f>
        <v>1</v>
      </c>
      <c r="I65" s="10">
        <f>+IF(I$2=0,E65,IF(I$2=1,E66,IF(I$2=2,E64,"X")))</f>
        <v>3</v>
      </c>
      <c r="J65" s="7" t="str">
        <f>+IF(ISNA(+VLOOKUP(_xlfn.CONCAT(G65:I65),Cuadro2!E:F,2,FALSE)),"",+VLOOKUP(_xlfn.CONCAT(G65:I65),Cuadro2!E:F,2,FALSE))</f>
        <v>X</v>
      </c>
    </row>
    <row r="66" spans="1:10" x14ac:dyDescent="0.25">
      <c r="A66">
        <v>63</v>
      </c>
      <c r="B66" s="34" t="str">
        <f t="shared" si="1"/>
        <v>U</v>
      </c>
      <c r="C66" s="3">
        <f>IF(ISNA(+VLOOKUP($B66,Cuadro0!A:D,2,FALSE)),"",+VLOOKUP($B66,Cuadro0!A:D,2,FALSE))</f>
        <v>3</v>
      </c>
      <c r="D66" s="3">
        <f>IF(ISNA(+VLOOKUP($B66,Cuadro0!A:D,3,FALSE)),"",+VLOOKUP($B66,Cuadro0!A:D,3,FALSE))</f>
        <v>1</v>
      </c>
      <c r="E66" s="3">
        <f>IF(ISNA(+VLOOKUP($B66,Cuadro0!A:D,4,FALSE)),"",+VLOOKUP($B66,Cuadro0!A:D,4,FALSE))</f>
        <v>3</v>
      </c>
      <c r="F66" s="5"/>
      <c r="G66" s="3">
        <f>+IF(G$2=0,C66,IF(G$2=1,C64,IF(G$2=2,C65,"X")))</f>
        <v>3</v>
      </c>
      <c r="H66" s="3">
        <f>+IF(H$2=0,D66,IF(H$2=1,D64,IF(H$2=2,D65,"X")))</f>
        <v>3</v>
      </c>
      <c r="I66" s="3">
        <f>+IF(I$2=0,E66,IF(I$2=1,E64,IF(I$2=2,E65,"X")))</f>
        <v>2</v>
      </c>
      <c r="J66" s="8" t="str">
        <f>IF(ISNA(+VLOOKUP(_xlfn.CONCAT(G66:I66),Cuadro3!E:F,2,FALSE)),"",+VLOOKUP(_xlfn.CONCAT(G66:I66),Cuadro3!E:F,2,FALSE))</f>
        <v>Z</v>
      </c>
    </row>
    <row r="67" spans="1:10" x14ac:dyDescent="0.25">
      <c r="A67">
        <v>64</v>
      </c>
      <c r="B67" s="33" t="str">
        <f t="shared" si="1"/>
        <v/>
      </c>
      <c r="C67" s="10" t="str">
        <f>IF(ISNA(+VLOOKUP($B67,Cuadro0!A:D,2,FALSE)),"",+VLOOKUP($B67,Cuadro0!A:D,2,FALSE))</f>
        <v/>
      </c>
      <c r="D67" s="10" t="str">
        <f>IF(ISNA(+VLOOKUP($B67,Cuadro0!A:D,3,FALSE)),"",+VLOOKUP($B67,Cuadro0!A:D,3,FALSE))</f>
        <v/>
      </c>
      <c r="E67" s="10" t="str">
        <f>IF(ISNA(+VLOOKUP($B67,Cuadro0!A:D,4,FALSE)),"",+VLOOKUP($B67,Cuadro0!A:D,4,FALSE))</f>
        <v/>
      </c>
      <c r="G67" s="10" t="str">
        <f>+IF(G$2=0,C67,IF(G$2=1,C68,IF(G$2=2,C69,"X")))</f>
        <v/>
      </c>
      <c r="H67" s="10" t="str">
        <f>+IF(H$2=0,D67,IF(H$2=1,D68,IF(H$2=2,D69,"X")))</f>
        <v/>
      </c>
      <c r="I67" s="10" t="str">
        <f>+IF(I$2=0,E67,IF(I$2=1,E68,IF(I$2=2,E69,"X")))</f>
        <v/>
      </c>
      <c r="J67" s="6" t="str">
        <f>IF(ISNA(+VLOOKUP(_xlfn.CONCAT(G67:I67),Cuadro1!E:F,2,FALSE)),"",+VLOOKUP(_xlfn.CONCAT(G67:I67),Cuadro1!E:F,2,FALSE))</f>
        <v/>
      </c>
    </row>
    <row r="68" spans="1:10" x14ac:dyDescent="0.25">
      <c r="A68">
        <v>65</v>
      </c>
      <c r="B68" s="33" t="str">
        <f t="shared" ref="B68:B99" si="2">+MID($N$1,A68,1)</f>
        <v/>
      </c>
      <c r="C68" s="10" t="str">
        <f>IF(ISNA(+VLOOKUP($B68,Cuadro0!A:D,2,FALSE)),"",+VLOOKUP($B68,Cuadro0!A:D,2,FALSE))</f>
        <v/>
      </c>
      <c r="D68" s="10" t="str">
        <f>IF(ISNA(+VLOOKUP($B68,Cuadro0!A:D,3,FALSE)),"",+VLOOKUP($B68,Cuadro0!A:D,3,FALSE))</f>
        <v/>
      </c>
      <c r="E68" s="10" t="str">
        <f>IF(ISNA(+VLOOKUP($B68,Cuadro0!A:D,4,FALSE)),"",+VLOOKUP($B68,Cuadro0!A:D,4,FALSE))</f>
        <v/>
      </c>
      <c r="F68" s="10"/>
      <c r="G68" s="10" t="str">
        <f>+IF(G$2=0,C68,IF(G$2=1,C69,IF(G$2=2,C67,"X")))</f>
        <v/>
      </c>
      <c r="H68" s="10" t="str">
        <f>+IF(H$2=0,D68,IF(H$2=1,D69,IF(H$2=2,D67,"X")))</f>
        <v/>
      </c>
      <c r="I68" s="10" t="str">
        <f>+IF(I$2=0,E68,IF(I$2=1,E69,IF(I$2=2,E67,"X")))</f>
        <v/>
      </c>
      <c r="J68" s="7" t="str">
        <f>+IF(ISNA(+VLOOKUP(_xlfn.CONCAT(G68:I68),Cuadro2!E:F,2,FALSE)),"",+VLOOKUP(_xlfn.CONCAT(G68:I68),Cuadro2!E:F,2,FALSE))</f>
        <v/>
      </c>
    </row>
    <row r="69" spans="1:10" x14ac:dyDescent="0.25">
      <c r="A69">
        <v>66</v>
      </c>
      <c r="B69" s="34" t="str">
        <f t="shared" si="2"/>
        <v/>
      </c>
      <c r="C69" s="3" t="str">
        <f>IF(ISNA(+VLOOKUP($B69,Cuadro0!A:D,2,FALSE)),"",+VLOOKUP($B69,Cuadro0!A:D,2,FALSE))</f>
        <v/>
      </c>
      <c r="D69" s="3" t="str">
        <f>IF(ISNA(+VLOOKUP($B69,Cuadro0!A:D,3,FALSE)),"",+VLOOKUP($B69,Cuadro0!A:D,3,FALSE))</f>
        <v/>
      </c>
      <c r="E69" s="3" t="str">
        <f>IF(ISNA(+VLOOKUP($B69,Cuadro0!A:D,4,FALSE)),"",+VLOOKUP($B69,Cuadro0!A:D,4,FALSE))</f>
        <v/>
      </c>
      <c r="F69" s="5"/>
      <c r="G69" s="3" t="str">
        <f>+IF(G$2=0,C69,IF(G$2=1,C67,IF(G$2=2,C68,"X")))</f>
        <v/>
      </c>
      <c r="H69" s="3" t="str">
        <f>+IF(H$2=0,D69,IF(H$2=1,D67,IF(H$2=2,D68,"X")))</f>
        <v/>
      </c>
      <c r="I69" s="3" t="str">
        <f>+IF(I$2=0,E69,IF(I$2=1,E67,IF(I$2=2,E68,"X")))</f>
        <v/>
      </c>
      <c r="J69" s="8" t="str">
        <f>IF(ISNA(+VLOOKUP(_xlfn.CONCAT(G69:I69),Cuadro3!E:F,2,FALSE)),"",+VLOOKUP(_xlfn.CONCAT(G69:I69),Cuadro3!E:F,2,FALSE))</f>
        <v/>
      </c>
    </row>
    <row r="70" spans="1:10" x14ac:dyDescent="0.25">
      <c r="A70">
        <v>67</v>
      </c>
      <c r="B70" s="33" t="str">
        <f t="shared" si="2"/>
        <v/>
      </c>
      <c r="C70" s="10" t="str">
        <f>IF(ISNA(+VLOOKUP($B70,Cuadro0!A:D,2,FALSE)),"",+VLOOKUP($B70,Cuadro0!A:D,2,FALSE))</f>
        <v/>
      </c>
      <c r="D70" s="10" t="str">
        <f>IF(ISNA(+VLOOKUP($B70,Cuadro0!A:D,3,FALSE)),"",+VLOOKUP($B70,Cuadro0!A:D,3,FALSE))</f>
        <v/>
      </c>
      <c r="E70" s="10" t="str">
        <f>IF(ISNA(+VLOOKUP($B70,Cuadro0!A:D,4,FALSE)),"",+VLOOKUP($B70,Cuadro0!A:D,4,FALSE))</f>
        <v/>
      </c>
      <c r="G70" s="10" t="str">
        <f>+IF(G$2=0,C70,IF(G$2=1,C71,IF(G$2=2,C72,"X")))</f>
        <v/>
      </c>
      <c r="H70" s="10" t="str">
        <f>+IF(H$2=0,D70,IF(H$2=1,D71,IF(H$2=2,D72,"X")))</f>
        <v/>
      </c>
      <c r="I70" s="10" t="str">
        <f>+IF(I$2=0,E70,IF(I$2=1,E71,IF(I$2=2,E72,"X")))</f>
        <v/>
      </c>
      <c r="J70" s="6" t="str">
        <f>IF(ISNA(+VLOOKUP(_xlfn.CONCAT(G70:I70),Cuadro1!E:F,2,FALSE)),"",+VLOOKUP(_xlfn.CONCAT(G70:I70),Cuadro1!E:F,2,FALSE))</f>
        <v/>
      </c>
    </row>
    <row r="71" spans="1:10" x14ac:dyDescent="0.25">
      <c r="A71">
        <v>68</v>
      </c>
      <c r="B71" s="33" t="str">
        <f t="shared" si="2"/>
        <v/>
      </c>
      <c r="C71" s="10" t="str">
        <f>IF(ISNA(+VLOOKUP($B71,Cuadro0!A:D,2,FALSE)),"",+VLOOKUP($B71,Cuadro0!A:D,2,FALSE))</f>
        <v/>
      </c>
      <c r="D71" s="10" t="str">
        <f>IF(ISNA(+VLOOKUP($B71,Cuadro0!A:D,3,FALSE)),"",+VLOOKUP($B71,Cuadro0!A:D,3,FALSE))</f>
        <v/>
      </c>
      <c r="E71" s="10" t="str">
        <f>IF(ISNA(+VLOOKUP($B71,Cuadro0!A:D,4,FALSE)),"",+VLOOKUP($B71,Cuadro0!A:D,4,FALSE))</f>
        <v/>
      </c>
      <c r="F71" s="10"/>
      <c r="G71" s="10" t="str">
        <f>+IF(G$2=0,C71,IF(G$2=1,C72,IF(G$2=2,C70,"X")))</f>
        <v/>
      </c>
      <c r="H71" s="10" t="str">
        <f>+IF(H$2=0,D71,IF(H$2=1,D72,IF(H$2=2,D70,"X")))</f>
        <v/>
      </c>
      <c r="I71" s="10" t="str">
        <f>+IF(I$2=0,E71,IF(I$2=1,E72,IF(I$2=2,E70,"X")))</f>
        <v/>
      </c>
      <c r="J71" s="7" t="str">
        <f>+IF(ISNA(+VLOOKUP(_xlfn.CONCAT(G71:I71),Cuadro2!E:F,2,FALSE)),"",+VLOOKUP(_xlfn.CONCAT(G71:I71),Cuadro2!E:F,2,FALSE))</f>
        <v/>
      </c>
    </row>
    <row r="72" spans="1:10" x14ac:dyDescent="0.25">
      <c r="A72">
        <v>69</v>
      </c>
      <c r="B72" s="34" t="str">
        <f t="shared" si="2"/>
        <v/>
      </c>
      <c r="C72" s="3" t="str">
        <f>IF(ISNA(+VLOOKUP($B72,Cuadro0!A:D,2,FALSE)),"",+VLOOKUP($B72,Cuadro0!A:D,2,FALSE))</f>
        <v/>
      </c>
      <c r="D72" s="3" t="str">
        <f>IF(ISNA(+VLOOKUP($B72,Cuadro0!A:D,3,FALSE)),"",+VLOOKUP($B72,Cuadro0!A:D,3,FALSE))</f>
        <v/>
      </c>
      <c r="E72" s="3" t="str">
        <f>IF(ISNA(+VLOOKUP($B72,Cuadro0!A:D,4,FALSE)),"",+VLOOKUP($B72,Cuadro0!A:D,4,FALSE))</f>
        <v/>
      </c>
      <c r="F72" s="5"/>
      <c r="G72" s="3" t="str">
        <f>+IF(G$2=0,C72,IF(G$2=1,C70,IF(G$2=2,C71,"X")))</f>
        <v/>
      </c>
      <c r="H72" s="3" t="str">
        <f>+IF(H$2=0,D72,IF(H$2=1,D70,IF(H$2=2,D71,"X")))</f>
        <v/>
      </c>
      <c r="I72" s="3" t="str">
        <f>+IF(I$2=0,E72,IF(I$2=1,E70,IF(I$2=2,E71,"X")))</f>
        <v/>
      </c>
      <c r="J72" s="8" t="str">
        <f>IF(ISNA(+VLOOKUP(_xlfn.CONCAT(G72:I72),Cuadro3!E:F,2,FALSE)),"",+VLOOKUP(_xlfn.CONCAT(G72:I72),Cuadro3!E:F,2,FALSE))</f>
        <v/>
      </c>
    </row>
    <row r="73" spans="1:10" x14ac:dyDescent="0.25">
      <c r="A73">
        <v>70</v>
      </c>
      <c r="B73" s="33" t="str">
        <f t="shared" si="2"/>
        <v/>
      </c>
      <c r="C73" s="10" t="str">
        <f>IF(ISNA(+VLOOKUP($B73,Cuadro0!A:D,2,FALSE)),"",+VLOOKUP($B73,Cuadro0!A:D,2,FALSE))</f>
        <v/>
      </c>
      <c r="D73" s="10" t="str">
        <f>IF(ISNA(+VLOOKUP($B73,Cuadro0!A:D,3,FALSE)),"",+VLOOKUP($B73,Cuadro0!A:D,3,FALSE))</f>
        <v/>
      </c>
      <c r="E73" s="10" t="str">
        <f>IF(ISNA(+VLOOKUP($B73,Cuadro0!A:D,4,FALSE)),"",+VLOOKUP($B73,Cuadro0!A:D,4,FALSE))</f>
        <v/>
      </c>
      <c r="G73" s="10" t="str">
        <f>+IF(G$2=0,C73,IF(G$2=1,C74,IF(G$2=2,C75,"X")))</f>
        <v/>
      </c>
      <c r="H73" s="10" t="str">
        <f>+IF(H$2=0,D73,IF(H$2=1,D74,IF(H$2=2,D75,"X")))</f>
        <v/>
      </c>
      <c r="I73" s="10" t="str">
        <f>+IF(I$2=0,E73,IF(I$2=1,E74,IF(I$2=2,E75,"X")))</f>
        <v/>
      </c>
      <c r="J73" s="6" t="str">
        <f>IF(ISNA(+VLOOKUP(_xlfn.CONCAT(G73:I73),Cuadro1!E:F,2,FALSE)),"",+VLOOKUP(_xlfn.CONCAT(G73:I73),Cuadro1!E:F,2,FALSE))</f>
        <v/>
      </c>
    </row>
    <row r="74" spans="1:10" x14ac:dyDescent="0.25">
      <c r="A74">
        <v>71</v>
      </c>
      <c r="B74" s="33" t="str">
        <f t="shared" si="2"/>
        <v/>
      </c>
      <c r="C74" s="10" t="str">
        <f>IF(ISNA(+VLOOKUP($B74,Cuadro0!A:D,2,FALSE)),"",+VLOOKUP($B74,Cuadro0!A:D,2,FALSE))</f>
        <v/>
      </c>
      <c r="D74" s="10" t="str">
        <f>IF(ISNA(+VLOOKUP($B74,Cuadro0!A:D,3,FALSE)),"",+VLOOKUP($B74,Cuadro0!A:D,3,FALSE))</f>
        <v/>
      </c>
      <c r="E74" s="10" t="str">
        <f>IF(ISNA(+VLOOKUP($B74,Cuadro0!A:D,4,FALSE)),"",+VLOOKUP($B74,Cuadro0!A:D,4,FALSE))</f>
        <v/>
      </c>
      <c r="F74" s="10"/>
      <c r="G74" s="10" t="str">
        <f>+IF(G$2=0,C74,IF(G$2=1,C75,IF(G$2=2,C73,"X")))</f>
        <v/>
      </c>
      <c r="H74" s="10" t="str">
        <f>+IF(H$2=0,D74,IF(H$2=1,D75,IF(H$2=2,D73,"X")))</f>
        <v/>
      </c>
      <c r="I74" s="10" t="str">
        <f>+IF(I$2=0,E74,IF(I$2=1,E75,IF(I$2=2,E73,"X")))</f>
        <v/>
      </c>
      <c r="J74" s="7" t="str">
        <f>+IF(ISNA(+VLOOKUP(_xlfn.CONCAT(G74:I74),Cuadro2!E:F,2,FALSE)),"",+VLOOKUP(_xlfn.CONCAT(G74:I74),Cuadro2!E:F,2,FALSE))</f>
        <v/>
      </c>
    </row>
    <row r="75" spans="1:10" x14ac:dyDescent="0.25">
      <c r="A75">
        <v>72</v>
      </c>
      <c r="B75" s="34" t="str">
        <f t="shared" si="2"/>
        <v/>
      </c>
      <c r="C75" s="3" t="str">
        <f>IF(ISNA(+VLOOKUP($B75,Cuadro0!A:D,2,FALSE)),"",+VLOOKUP($B75,Cuadro0!A:D,2,FALSE))</f>
        <v/>
      </c>
      <c r="D75" s="3" t="str">
        <f>IF(ISNA(+VLOOKUP($B75,Cuadro0!A:D,3,FALSE)),"",+VLOOKUP($B75,Cuadro0!A:D,3,FALSE))</f>
        <v/>
      </c>
      <c r="E75" s="3" t="str">
        <f>IF(ISNA(+VLOOKUP($B75,Cuadro0!A:D,4,FALSE)),"",+VLOOKUP($B75,Cuadro0!A:D,4,FALSE))</f>
        <v/>
      </c>
      <c r="F75" s="5"/>
      <c r="G75" s="3" t="str">
        <f>+IF(G$2=0,C75,IF(G$2=1,C73,IF(G$2=2,C74,"X")))</f>
        <v/>
      </c>
      <c r="H75" s="3" t="str">
        <f>+IF(H$2=0,D75,IF(H$2=1,D73,IF(H$2=2,D74,"X")))</f>
        <v/>
      </c>
      <c r="I75" s="3" t="str">
        <f>+IF(I$2=0,E75,IF(I$2=1,E73,IF(I$2=2,E74,"X")))</f>
        <v/>
      </c>
      <c r="J75" s="8" t="str">
        <f>IF(ISNA(+VLOOKUP(_xlfn.CONCAT(G75:I75),Cuadro3!E:F,2,FALSE)),"",+VLOOKUP(_xlfn.CONCAT(G75:I75),Cuadro3!E:F,2,FALSE))</f>
        <v/>
      </c>
    </row>
    <row r="76" spans="1:10" x14ac:dyDescent="0.25">
      <c r="A76">
        <v>73</v>
      </c>
      <c r="B76" s="33" t="str">
        <f t="shared" si="2"/>
        <v/>
      </c>
      <c r="C76" s="10" t="str">
        <f>IF(ISNA(+VLOOKUP($B76,Cuadro0!A:D,2,FALSE)),"",+VLOOKUP($B76,Cuadro0!A:D,2,FALSE))</f>
        <v/>
      </c>
      <c r="D76" s="10" t="str">
        <f>IF(ISNA(+VLOOKUP($B76,Cuadro0!A:D,3,FALSE)),"",+VLOOKUP($B76,Cuadro0!A:D,3,FALSE))</f>
        <v/>
      </c>
      <c r="E76" s="10" t="str">
        <f>IF(ISNA(+VLOOKUP($B76,Cuadro0!A:D,4,FALSE)),"",+VLOOKUP($B76,Cuadro0!A:D,4,FALSE))</f>
        <v/>
      </c>
      <c r="G76" s="10" t="str">
        <f>+IF(G$2=0,C76,IF(G$2=1,C77,IF(G$2=2,C78,"X")))</f>
        <v/>
      </c>
      <c r="H76" s="10" t="str">
        <f>+IF(H$2=0,D76,IF(H$2=1,D77,IF(H$2=2,D78,"X")))</f>
        <v/>
      </c>
      <c r="I76" s="10" t="str">
        <f>+IF(I$2=0,E76,IF(I$2=1,E77,IF(I$2=2,E78,"X")))</f>
        <v/>
      </c>
      <c r="J76" s="6" t="str">
        <f>IF(ISNA(+VLOOKUP(_xlfn.CONCAT(G76:I76),Cuadro1!E:F,2,FALSE)),"",+VLOOKUP(_xlfn.CONCAT(G76:I76),Cuadro1!E:F,2,FALSE))</f>
        <v/>
      </c>
    </row>
    <row r="77" spans="1:10" x14ac:dyDescent="0.25">
      <c r="A77">
        <v>74</v>
      </c>
      <c r="B77" s="33" t="str">
        <f t="shared" si="2"/>
        <v/>
      </c>
      <c r="C77" s="10" t="str">
        <f>IF(ISNA(+VLOOKUP($B77,Cuadro0!A:D,2,FALSE)),"",+VLOOKUP($B77,Cuadro0!A:D,2,FALSE))</f>
        <v/>
      </c>
      <c r="D77" s="10" t="str">
        <f>IF(ISNA(+VLOOKUP($B77,Cuadro0!A:D,3,FALSE)),"",+VLOOKUP($B77,Cuadro0!A:D,3,FALSE))</f>
        <v/>
      </c>
      <c r="E77" s="10" t="str">
        <f>IF(ISNA(+VLOOKUP($B77,Cuadro0!A:D,4,FALSE)),"",+VLOOKUP($B77,Cuadro0!A:D,4,FALSE))</f>
        <v/>
      </c>
      <c r="F77" s="10"/>
      <c r="G77" s="10" t="str">
        <f>+IF(G$2=0,C77,IF(G$2=1,C78,IF(G$2=2,C76,"X")))</f>
        <v/>
      </c>
      <c r="H77" s="10" t="str">
        <f>+IF(H$2=0,D77,IF(H$2=1,D78,IF(H$2=2,D76,"X")))</f>
        <v/>
      </c>
      <c r="I77" s="10" t="str">
        <f>+IF(I$2=0,E77,IF(I$2=1,E78,IF(I$2=2,E76,"X")))</f>
        <v/>
      </c>
      <c r="J77" s="7" t="str">
        <f>+IF(ISNA(+VLOOKUP(_xlfn.CONCAT(G77:I77),Cuadro2!E:F,2,FALSE)),"",+VLOOKUP(_xlfn.CONCAT(G77:I77),Cuadro2!E:F,2,FALSE))</f>
        <v/>
      </c>
    </row>
    <row r="78" spans="1:10" x14ac:dyDescent="0.25">
      <c r="A78">
        <v>75</v>
      </c>
      <c r="B78" s="34" t="str">
        <f t="shared" si="2"/>
        <v/>
      </c>
      <c r="C78" s="3" t="str">
        <f>IF(ISNA(+VLOOKUP($B78,Cuadro0!A:D,2,FALSE)),"",+VLOOKUP($B78,Cuadro0!A:D,2,FALSE))</f>
        <v/>
      </c>
      <c r="D78" s="3" t="str">
        <f>IF(ISNA(+VLOOKUP($B78,Cuadro0!A:D,3,FALSE)),"",+VLOOKUP($B78,Cuadro0!A:D,3,FALSE))</f>
        <v/>
      </c>
      <c r="E78" s="3" t="str">
        <f>IF(ISNA(+VLOOKUP($B78,Cuadro0!A:D,4,FALSE)),"",+VLOOKUP($B78,Cuadro0!A:D,4,FALSE))</f>
        <v/>
      </c>
      <c r="F78" s="5"/>
      <c r="G78" s="3" t="str">
        <f>+IF(G$2=0,C78,IF(G$2=1,C76,IF(G$2=2,C77,"X")))</f>
        <v/>
      </c>
      <c r="H78" s="3" t="str">
        <f>+IF(H$2=0,D78,IF(H$2=1,D76,IF(H$2=2,D77,"X")))</f>
        <v/>
      </c>
      <c r="I78" s="3" t="str">
        <f>+IF(I$2=0,E78,IF(I$2=1,E76,IF(I$2=2,E77,"X")))</f>
        <v/>
      </c>
      <c r="J78" s="8" t="str">
        <f>IF(ISNA(+VLOOKUP(_xlfn.CONCAT(G78:I78),Cuadro3!E:F,2,FALSE)),"",+VLOOKUP(_xlfn.CONCAT(G78:I78),Cuadro3!E:F,2,FALSE))</f>
        <v/>
      </c>
    </row>
    <row r="79" spans="1:10" x14ac:dyDescent="0.25">
      <c r="A79">
        <v>76</v>
      </c>
      <c r="B79" s="33" t="str">
        <f t="shared" si="2"/>
        <v/>
      </c>
      <c r="C79" s="10" t="str">
        <f>IF(ISNA(+VLOOKUP($B79,Cuadro0!A:D,2,FALSE)),"",+VLOOKUP($B79,Cuadro0!A:D,2,FALSE))</f>
        <v/>
      </c>
      <c r="D79" s="10" t="str">
        <f>IF(ISNA(+VLOOKUP($B79,Cuadro0!A:D,3,FALSE)),"",+VLOOKUP($B79,Cuadro0!A:D,3,FALSE))</f>
        <v/>
      </c>
      <c r="E79" s="10" t="str">
        <f>IF(ISNA(+VLOOKUP($B79,Cuadro0!A:D,4,FALSE)),"",+VLOOKUP($B79,Cuadro0!A:D,4,FALSE))</f>
        <v/>
      </c>
      <c r="G79" s="10" t="str">
        <f>+IF(G$2=0,C79,IF(G$2=1,C80,IF(G$2=2,C81,"X")))</f>
        <v/>
      </c>
      <c r="H79" s="10" t="str">
        <f>+IF(H$2=0,D79,IF(H$2=1,D80,IF(H$2=2,D81,"X")))</f>
        <v/>
      </c>
      <c r="I79" s="10" t="str">
        <f>+IF(I$2=0,E79,IF(I$2=1,E80,IF(I$2=2,E81,"X")))</f>
        <v/>
      </c>
      <c r="J79" s="6" t="str">
        <f>IF(ISNA(+VLOOKUP(_xlfn.CONCAT(G79:I79),Cuadro1!E:F,2,FALSE)),"",+VLOOKUP(_xlfn.CONCAT(G79:I79),Cuadro1!E:F,2,FALSE))</f>
        <v/>
      </c>
    </row>
    <row r="80" spans="1:10" x14ac:dyDescent="0.25">
      <c r="A80">
        <v>77</v>
      </c>
      <c r="B80" s="33" t="str">
        <f t="shared" si="2"/>
        <v/>
      </c>
      <c r="C80" s="10" t="str">
        <f>IF(ISNA(+VLOOKUP($B80,Cuadro0!A:D,2,FALSE)),"",+VLOOKUP($B80,Cuadro0!A:D,2,FALSE))</f>
        <v/>
      </c>
      <c r="D80" s="10" t="str">
        <f>IF(ISNA(+VLOOKUP($B80,Cuadro0!A:D,3,FALSE)),"",+VLOOKUP($B80,Cuadro0!A:D,3,FALSE))</f>
        <v/>
      </c>
      <c r="E80" s="10" t="str">
        <f>IF(ISNA(+VLOOKUP($B80,Cuadro0!A:D,4,FALSE)),"",+VLOOKUP($B80,Cuadro0!A:D,4,FALSE))</f>
        <v/>
      </c>
      <c r="F80" s="10"/>
      <c r="G80" s="10" t="str">
        <f>+IF(G$2=0,C80,IF(G$2=1,C81,IF(G$2=2,C79,"X")))</f>
        <v/>
      </c>
      <c r="H80" s="10" t="str">
        <f>+IF(H$2=0,D80,IF(H$2=1,D81,IF(H$2=2,D79,"X")))</f>
        <v/>
      </c>
      <c r="I80" s="10" t="str">
        <f>+IF(I$2=0,E80,IF(I$2=1,E81,IF(I$2=2,E79,"X")))</f>
        <v/>
      </c>
      <c r="J80" s="7" t="str">
        <f>+IF(ISNA(+VLOOKUP(_xlfn.CONCAT(G80:I80),Cuadro2!E:F,2,FALSE)),"",+VLOOKUP(_xlfn.CONCAT(G80:I80),Cuadro2!E:F,2,FALSE))</f>
        <v/>
      </c>
    </row>
    <row r="81" spans="1:10" x14ac:dyDescent="0.25">
      <c r="A81">
        <v>78</v>
      </c>
      <c r="B81" s="34" t="str">
        <f t="shared" si="2"/>
        <v/>
      </c>
      <c r="C81" s="3" t="str">
        <f>IF(ISNA(+VLOOKUP($B81,Cuadro0!A:D,2,FALSE)),"",+VLOOKUP($B81,Cuadro0!A:D,2,FALSE))</f>
        <v/>
      </c>
      <c r="D81" s="3" t="str">
        <f>IF(ISNA(+VLOOKUP($B81,Cuadro0!A:D,3,FALSE)),"",+VLOOKUP($B81,Cuadro0!A:D,3,FALSE))</f>
        <v/>
      </c>
      <c r="E81" s="3" t="str">
        <f>IF(ISNA(+VLOOKUP($B81,Cuadro0!A:D,4,FALSE)),"",+VLOOKUP($B81,Cuadro0!A:D,4,FALSE))</f>
        <v/>
      </c>
      <c r="F81" s="5"/>
      <c r="G81" s="3" t="str">
        <f>+IF(G$2=0,C81,IF(G$2=1,C79,IF(G$2=2,C80,"X")))</f>
        <v/>
      </c>
      <c r="H81" s="3" t="str">
        <f>+IF(H$2=0,D81,IF(H$2=1,D79,IF(H$2=2,D80,"X")))</f>
        <v/>
      </c>
      <c r="I81" s="3" t="str">
        <f>+IF(I$2=0,E81,IF(I$2=1,E79,IF(I$2=2,E80,"X")))</f>
        <v/>
      </c>
      <c r="J81" s="8" t="str">
        <f>IF(ISNA(+VLOOKUP(_xlfn.CONCAT(G81:I81),Cuadro3!E:F,2,FALSE)),"",+VLOOKUP(_xlfn.CONCAT(G81:I81),Cuadro3!E:F,2,FALSE))</f>
        <v/>
      </c>
    </row>
    <row r="82" spans="1:10" x14ac:dyDescent="0.25">
      <c r="A82">
        <v>79</v>
      </c>
      <c r="B82" s="33" t="str">
        <f t="shared" si="2"/>
        <v/>
      </c>
      <c r="C82" s="10" t="str">
        <f>IF(ISNA(+VLOOKUP($B82,Cuadro0!A:D,2,FALSE)),"",+VLOOKUP($B82,Cuadro0!A:D,2,FALSE))</f>
        <v/>
      </c>
      <c r="D82" s="10" t="str">
        <f>IF(ISNA(+VLOOKUP($B82,Cuadro0!A:D,3,FALSE)),"",+VLOOKUP($B82,Cuadro0!A:D,3,FALSE))</f>
        <v/>
      </c>
      <c r="E82" s="10" t="str">
        <f>IF(ISNA(+VLOOKUP($B82,Cuadro0!A:D,4,FALSE)),"",+VLOOKUP($B82,Cuadro0!A:D,4,FALSE))</f>
        <v/>
      </c>
      <c r="G82" s="10" t="str">
        <f>+IF(G$2=0,C82,IF(G$2=1,C83,IF(G$2=2,C84,"X")))</f>
        <v/>
      </c>
      <c r="H82" s="10" t="str">
        <f>+IF(H$2=0,D82,IF(H$2=1,D83,IF(H$2=2,D84,"X")))</f>
        <v/>
      </c>
      <c r="I82" s="10" t="str">
        <f>+IF(I$2=0,E82,IF(I$2=1,E83,IF(I$2=2,E84,"X")))</f>
        <v/>
      </c>
      <c r="J82" s="6" t="str">
        <f>IF(ISNA(+VLOOKUP(_xlfn.CONCAT(G82:I82),Cuadro1!E:F,2,FALSE)),"",+VLOOKUP(_xlfn.CONCAT(G82:I82),Cuadro1!E:F,2,FALSE))</f>
        <v/>
      </c>
    </row>
    <row r="83" spans="1:10" x14ac:dyDescent="0.25">
      <c r="A83">
        <v>80</v>
      </c>
      <c r="B83" s="33" t="str">
        <f t="shared" si="2"/>
        <v/>
      </c>
      <c r="C83" s="10" t="str">
        <f>IF(ISNA(+VLOOKUP($B83,Cuadro0!A:D,2,FALSE)),"",+VLOOKUP($B83,Cuadro0!A:D,2,FALSE))</f>
        <v/>
      </c>
      <c r="D83" s="10" t="str">
        <f>IF(ISNA(+VLOOKUP($B83,Cuadro0!A:D,3,FALSE)),"",+VLOOKUP($B83,Cuadro0!A:D,3,FALSE))</f>
        <v/>
      </c>
      <c r="E83" s="10" t="str">
        <f>IF(ISNA(+VLOOKUP($B83,Cuadro0!A:D,4,FALSE)),"",+VLOOKUP($B83,Cuadro0!A:D,4,FALSE))</f>
        <v/>
      </c>
      <c r="F83" s="10"/>
      <c r="G83" s="10" t="str">
        <f>+IF(G$2=0,C83,IF(G$2=1,C84,IF(G$2=2,C82,"X")))</f>
        <v/>
      </c>
      <c r="H83" s="10" t="str">
        <f>+IF(H$2=0,D83,IF(H$2=1,D84,IF(H$2=2,D82,"X")))</f>
        <v/>
      </c>
      <c r="I83" s="10" t="str">
        <f>+IF(I$2=0,E83,IF(I$2=1,E84,IF(I$2=2,E82,"X")))</f>
        <v/>
      </c>
      <c r="J83" s="7" t="str">
        <f>+IF(ISNA(+VLOOKUP(_xlfn.CONCAT(G83:I83),Cuadro2!E:F,2,FALSE)),"",+VLOOKUP(_xlfn.CONCAT(G83:I83),Cuadro2!E:F,2,FALSE))</f>
        <v/>
      </c>
    </row>
    <row r="84" spans="1:10" x14ac:dyDescent="0.25">
      <c r="A84">
        <v>81</v>
      </c>
      <c r="B84" s="34" t="str">
        <f t="shared" si="2"/>
        <v/>
      </c>
      <c r="C84" s="3" t="str">
        <f>IF(ISNA(+VLOOKUP($B84,Cuadro0!A:D,2,FALSE)),"",+VLOOKUP($B84,Cuadro0!A:D,2,FALSE))</f>
        <v/>
      </c>
      <c r="D84" s="3" t="str">
        <f>IF(ISNA(+VLOOKUP($B84,Cuadro0!A:D,3,FALSE)),"",+VLOOKUP($B84,Cuadro0!A:D,3,FALSE))</f>
        <v/>
      </c>
      <c r="E84" s="3" t="str">
        <f>IF(ISNA(+VLOOKUP($B84,Cuadro0!A:D,4,FALSE)),"",+VLOOKUP($B84,Cuadro0!A:D,4,FALSE))</f>
        <v/>
      </c>
      <c r="F84" s="5"/>
      <c r="G84" s="3" t="str">
        <f>+IF(G$2=0,C84,IF(G$2=1,C82,IF(G$2=2,C83,"X")))</f>
        <v/>
      </c>
      <c r="H84" s="3" t="str">
        <f>+IF(H$2=0,D84,IF(H$2=1,D82,IF(H$2=2,D83,"X")))</f>
        <v/>
      </c>
      <c r="I84" s="3" t="str">
        <f>+IF(I$2=0,E84,IF(I$2=1,E82,IF(I$2=2,E83,"X")))</f>
        <v/>
      </c>
      <c r="J84" s="8" t="str">
        <f>IF(ISNA(+VLOOKUP(_xlfn.CONCAT(G84:I84),Cuadro3!E:F,2,FALSE)),"",+VLOOKUP(_xlfn.CONCAT(G84:I84),Cuadro3!E:F,2,FALSE))</f>
        <v/>
      </c>
    </row>
    <row r="85" spans="1:10" x14ac:dyDescent="0.25">
      <c r="A85">
        <v>82</v>
      </c>
      <c r="B85" s="33" t="str">
        <f t="shared" si="2"/>
        <v/>
      </c>
      <c r="C85" s="10" t="str">
        <f>IF(ISNA(+VLOOKUP($B85,Cuadro0!A:D,2,FALSE)),"",+VLOOKUP($B85,Cuadro0!A:D,2,FALSE))</f>
        <v/>
      </c>
      <c r="D85" s="10" t="str">
        <f>IF(ISNA(+VLOOKUP($B85,Cuadro0!A:D,3,FALSE)),"",+VLOOKUP($B85,Cuadro0!A:D,3,FALSE))</f>
        <v/>
      </c>
      <c r="E85" s="10" t="str">
        <f>IF(ISNA(+VLOOKUP($B85,Cuadro0!A:D,4,FALSE)),"",+VLOOKUP($B85,Cuadro0!A:D,4,FALSE))</f>
        <v/>
      </c>
      <c r="G85" s="10" t="str">
        <f>+IF(G$2=0,C85,IF(G$2=1,C86,IF(G$2=2,C87,"X")))</f>
        <v/>
      </c>
      <c r="H85" s="10" t="str">
        <f>+IF(H$2=0,D85,IF(H$2=1,D86,IF(H$2=2,D87,"X")))</f>
        <v/>
      </c>
      <c r="I85" s="10" t="str">
        <f>+IF(I$2=0,E85,IF(I$2=1,E86,IF(I$2=2,E87,"X")))</f>
        <v/>
      </c>
      <c r="J85" s="6" t="str">
        <f>IF(ISNA(+VLOOKUP(_xlfn.CONCAT(G85:I85),Cuadro1!E:F,2,FALSE)),"",+VLOOKUP(_xlfn.CONCAT(G85:I85),Cuadro1!E:F,2,FALSE))</f>
        <v/>
      </c>
    </row>
    <row r="86" spans="1:10" x14ac:dyDescent="0.25">
      <c r="A86">
        <v>83</v>
      </c>
      <c r="B86" s="33" t="str">
        <f t="shared" si="2"/>
        <v/>
      </c>
      <c r="C86" s="10" t="str">
        <f>IF(ISNA(+VLOOKUP($B86,Cuadro0!A:D,2,FALSE)),"",+VLOOKUP($B86,Cuadro0!A:D,2,FALSE))</f>
        <v/>
      </c>
      <c r="D86" s="10" t="str">
        <f>IF(ISNA(+VLOOKUP($B86,Cuadro0!A:D,3,FALSE)),"",+VLOOKUP($B86,Cuadro0!A:D,3,FALSE))</f>
        <v/>
      </c>
      <c r="E86" s="10" t="str">
        <f>IF(ISNA(+VLOOKUP($B86,Cuadro0!A:D,4,FALSE)),"",+VLOOKUP($B86,Cuadro0!A:D,4,FALSE))</f>
        <v/>
      </c>
      <c r="F86" s="10"/>
      <c r="G86" s="10" t="str">
        <f>+IF(G$2=0,C86,IF(G$2=1,C87,IF(G$2=2,C85,"X")))</f>
        <v/>
      </c>
      <c r="H86" s="10" t="str">
        <f>+IF(H$2=0,D86,IF(H$2=1,D87,IF(H$2=2,D85,"X")))</f>
        <v/>
      </c>
      <c r="I86" s="10" t="str">
        <f>+IF(I$2=0,E86,IF(I$2=1,E87,IF(I$2=2,E85,"X")))</f>
        <v/>
      </c>
      <c r="J86" s="7" t="str">
        <f>+IF(ISNA(+VLOOKUP(_xlfn.CONCAT(G86:I86),Cuadro2!E:F,2,FALSE)),"",+VLOOKUP(_xlfn.CONCAT(G86:I86),Cuadro2!E:F,2,FALSE))</f>
        <v/>
      </c>
    </row>
    <row r="87" spans="1:10" x14ac:dyDescent="0.25">
      <c r="A87">
        <v>84</v>
      </c>
      <c r="B87" s="34" t="str">
        <f t="shared" si="2"/>
        <v/>
      </c>
      <c r="C87" s="3" t="str">
        <f>IF(ISNA(+VLOOKUP($B87,Cuadro0!A:D,2,FALSE)),"",+VLOOKUP($B87,Cuadro0!A:D,2,FALSE))</f>
        <v/>
      </c>
      <c r="D87" s="3" t="str">
        <f>IF(ISNA(+VLOOKUP($B87,Cuadro0!A:D,3,FALSE)),"",+VLOOKUP($B87,Cuadro0!A:D,3,FALSE))</f>
        <v/>
      </c>
      <c r="E87" s="3" t="str">
        <f>IF(ISNA(+VLOOKUP($B87,Cuadro0!A:D,4,FALSE)),"",+VLOOKUP($B87,Cuadro0!A:D,4,FALSE))</f>
        <v/>
      </c>
      <c r="F87" s="5"/>
      <c r="G87" s="3" t="str">
        <f>+IF(G$2=0,C87,IF(G$2=1,C85,IF(G$2=2,C86,"X")))</f>
        <v/>
      </c>
      <c r="H87" s="3" t="str">
        <f>+IF(H$2=0,D87,IF(H$2=1,D85,IF(H$2=2,D86,"X")))</f>
        <v/>
      </c>
      <c r="I87" s="3" t="str">
        <f>+IF(I$2=0,E87,IF(I$2=1,E85,IF(I$2=2,E86,"X")))</f>
        <v/>
      </c>
      <c r="J87" s="8" t="str">
        <f>IF(ISNA(+VLOOKUP(_xlfn.CONCAT(G87:I87),Cuadro3!E:F,2,FALSE)),"",+VLOOKUP(_xlfn.CONCAT(G87:I87),Cuadro3!E:F,2,FALSE))</f>
        <v/>
      </c>
    </row>
    <row r="88" spans="1:10" x14ac:dyDescent="0.25">
      <c r="A88">
        <v>85</v>
      </c>
      <c r="B88" s="33" t="str">
        <f t="shared" si="2"/>
        <v/>
      </c>
      <c r="C88" s="10" t="str">
        <f>IF(ISNA(+VLOOKUP($B88,Cuadro0!A:D,2,FALSE)),"",+VLOOKUP($B88,Cuadro0!A:D,2,FALSE))</f>
        <v/>
      </c>
      <c r="D88" s="10" t="str">
        <f>IF(ISNA(+VLOOKUP($B88,Cuadro0!A:D,3,FALSE)),"",+VLOOKUP($B88,Cuadro0!A:D,3,FALSE))</f>
        <v/>
      </c>
      <c r="E88" s="10" t="str">
        <f>IF(ISNA(+VLOOKUP($B88,Cuadro0!A:D,4,FALSE)),"",+VLOOKUP($B88,Cuadro0!A:D,4,FALSE))</f>
        <v/>
      </c>
      <c r="G88" s="10" t="str">
        <f>+IF(G$2=0,C88,IF(G$2=1,C89,IF(G$2=2,C90,"X")))</f>
        <v/>
      </c>
      <c r="H88" s="10" t="str">
        <f>+IF(H$2=0,D88,IF(H$2=1,D89,IF(H$2=2,D90,"X")))</f>
        <v/>
      </c>
      <c r="I88" s="10" t="str">
        <f>+IF(I$2=0,E88,IF(I$2=1,E89,IF(I$2=2,E90,"X")))</f>
        <v/>
      </c>
      <c r="J88" s="6" t="str">
        <f>IF(ISNA(+VLOOKUP(_xlfn.CONCAT(G88:I88),Cuadro1!E:F,2,FALSE)),"",+VLOOKUP(_xlfn.CONCAT(G88:I88),Cuadro1!E:F,2,FALSE))</f>
        <v/>
      </c>
    </row>
    <row r="89" spans="1:10" x14ac:dyDescent="0.25">
      <c r="A89">
        <v>86</v>
      </c>
      <c r="B89" s="33" t="str">
        <f t="shared" si="2"/>
        <v/>
      </c>
      <c r="C89" s="10" t="str">
        <f>IF(ISNA(+VLOOKUP($B89,Cuadro0!A:D,2,FALSE)),"",+VLOOKUP($B89,Cuadro0!A:D,2,FALSE))</f>
        <v/>
      </c>
      <c r="D89" s="10" t="str">
        <f>IF(ISNA(+VLOOKUP($B89,Cuadro0!A:D,3,FALSE)),"",+VLOOKUP($B89,Cuadro0!A:D,3,FALSE))</f>
        <v/>
      </c>
      <c r="E89" s="10" t="str">
        <f>IF(ISNA(+VLOOKUP($B89,Cuadro0!A:D,4,FALSE)),"",+VLOOKUP($B89,Cuadro0!A:D,4,FALSE))</f>
        <v/>
      </c>
      <c r="F89" s="10"/>
      <c r="G89" s="10" t="str">
        <f>+IF(G$2=0,C89,IF(G$2=1,C90,IF(G$2=2,C88,"X")))</f>
        <v/>
      </c>
      <c r="H89" s="10" t="str">
        <f>+IF(H$2=0,D89,IF(H$2=1,D90,IF(H$2=2,D88,"X")))</f>
        <v/>
      </c>
      <c r="I89" s="10" t="str">
        <f>+IF(I$2=0,E89,IF(I$2=1,E90,IF(I$2=2,E88,"X")))</f>
        <v/>
      </c>
      <c r="J89" s="7" t="str">
        <f>+IF(ISNA(+VLOOKUP(_xlfn.CONCAT(G89:I89),Cuadro2!E:F,2,FALSE)),"",+VLOOKUP(_xlfn.CONCAT(G89:I89),Cuadro2!E:F,2,FALSE))</f>
        <v/>
      </c>
    </row>
    <row r="90" spans="1:10" x14ac:dyDescent="0.25">
      <c r="A90">
        <v>87</v>
      </c>
      <c r="B90" s="34" t="str">
        <f t="shared" si="2"/>
        <v/>
      </c>
      <c r="C90" s="3" t="str">
        <f>IF(ISNA(+VLOOKUP($B90,Cuadro0!A:D,2,FALSE)),"",+VLOOKUP($B90,Cuadro0!A:D,2,FALSE))</f>
        <v/>
      </c>
      <c r="D90" s="3" t="str">
        <f>IF(ISNA(+VLOOKUP($B90,Cuadro0!A:D,3,FALSE)),"",+VLOOKUP($B90,Cuadro0!A:D,3,FALSE))</f>
        <v/>
      </c>
      <c r="E90" s="3" t="str">
        <f>IF(ISNA(+VLOOKUP($B90,Cuadro0!A:D,4,FALSE)),"",+VLOOKUP($B90,Cuadro0!A:D,4,FALSE))</f>
        <v/>
      </c>
      <c r="F90" s="5"/>
      <c r="G90" s="3" t="str">
        <f>+IF(G$2=0,C90,IF(G$2=1,C88,IF(G$2=2,C89,"X")))</f>
        <v/>
      </c>
      <c r="H90" s="3" t="str">
        <f>+IF(H$2=0,D90,IF(H$2=1,D88,IF(H$2=2,D89,"X")))</f>
        <v/>
      </c>
      <c r="I90" s="3" t="str">
        <f>+IF(I$2=0,E90,IF(I$2=1,E88,IF(I$2=2,E89,"X")))</f>
        <v/>
      </c>
      <c r="J90" s="8" t="str">
        <f>IF(ISNA(+VLOOKUP(_xlfn.CONCAT(G90:I90),Cuadro3!E:F,2,FALSE)),"",+VLOOKUP(_xlfn.CONCAT(G90:I90),Cuadro3!E:F,2,FALSE))</f>
        <v/>
      </c>
    </row>
    <row r="91" spans="1:10" x14ac:dyDescent="0.25">
      <c r="A91">
        <v>88</v>
      </c>
      <c r="B91" s="33" t="str">
        <f t="shared" si="2"/>
        <v/>
      </c>
      <c r="C91" s="10" t="str">
        <f>IF(ISNA(+VLOOKUP($B91,Cuadro0!A:D,2,FALSE)),"",+VLOOKUP($B91,Cuadro0!A:D,2,FALSE))</f>
        <v/>
      </c>
      <c r="D91" s="10" t="str">
        <f>IF(ISNA(+VLOOKUP($B91,Cuadro0!A:D,3,FALSE)),"",+VLOOKUP($B91,Cuadro0!A:D,3,FALSE))</f>
        <v/>
      </c>
      <c r="E91" s="10" t="str">
        <f>IF(ISNA(+VLOOKUP($B91,Cuadro0!A:D,4,FALSE)),"",+VLOOKUP($B91,Cuadro0!A:D,4,FALSE))</f>
        <v/>
      </c>
      <c r="G91" s="10" t="str">
        <f>+IF(G$2=0,C91,IF(G$2=1,C92,IF(G$2=2,C93,"X")))</f>
        <v/>
      </c>
      <c r="H91" s="10" t="str">
        <f>+IF(H$2=0,D91,IF(H$2=1,D92,IF(H$2=2,D93,"X")))</f>
        <v/>
      </c>
      <c r="I91" s="10" t="str">
        <f>+IF(I$2=0,E91,IF(I$2=1,E92,IF(I$2=2,E93,"X")))</f>
        <v/>
      </c>
      <c r="J91" s="6" t="str">
        <f>IF(ISNA(+VLOOKUP(_xlfn.CONCAT(G91:I91),Cuadro1!E:F,2,FALSE)),"",+VLOOKUP(_xlfn.CONCAT(G91:I91),Cuadro1!E:F,2,FALSE))</f>
        <v/>
      </c>
    </row>
    <row r="92" spans="1:10" x14ac:dyDescent="0.25">
      <c r="A92">
        <v>89</v>
      </c>
      <c r="B92" s="33" t="str">
        <f t="shared" si="2"/>
        <v/>
      </c>
      <c r="C92" s="10" t="str">
        <f>IF(ISNA(+VLOOKUP($B92,Cuadro0!A:D,2,FALSE)),"",+VLOOKUP($B92,Cuadro0!A:D,2,FALSE))</f>
        <v/>
      </c>
      <c r="D92" s="10" t="str">
        <f>IF(ISNA(+VLOOKUP($B92,Cuadro0!A:D,3,FALSE)),"",+VLOOKUP($B92,Cuadro0!A:D,3,FALSE))</f>
        <v/>
      </c>
      <c r="E92" s="10" t="str">
        <f>IF(ISNA(+VLOOKUP($B92,Cuadro0!A:D,4,FALSE)),"",+VLOOKUP($B92,Cuadro0!A:D,4,FALSE))</f>
        <v/>
      </c>
      <c r="F92" s="10"/>
      <c r="G92" s="10" t="str">
        <f>+IF(G$2=0,C92,IF(G$2=1,C93,IF(G$2=2,C91,"X")))</f>
        <v/>
      </c>
      <c r="H92" s="10" t="str">
        <f>+IF(H$2=0,D92,IF(H$2=1,D93,IF(H$2=2,D91,"X")))</f>
        <v/>
      </c>
      <c r="I92" s="10" t="str">
        <f>+IF(I$2=0,E92,IF(I$2=1,E93,IF(I$2=2,E91,"X")))</f>
        <v/>
      </c>
      <c r="J92" s="7" t="str">
        <f>+IF(ISNA(+VLOOKUP(_xlfn.CONCAT(G92:I92),Cuadro2!E:F,2,FALSE)),"",+VLOOKUP(_xlfn.CONCAT(G92:I92),Cuadro2!E:F,2,FALSE))</f>
        <v/>
      </c>
    </row>
    <row r="93" spans="1:10" x14ac:dyDescent="0.25">
      <c r="A93">
        <v>90</v>
      </c>
      <c r="B93" s="34" t="str">
        <f t="shared" si="2"/>
        <v/>
      </c>
      <c r="C93" s="3" t="str">
        <f>IF(ISNA(+VLOOKUP($B93,Cuadro0!A:D,2,FALSE)),"",+VLOOKUP($B93,Cuadro0!A:D,2,FALSE))</f>
        <v/>
      </c>
      <c r="D93" s="3" t="str">
        <f>IF(ISNA(+VLOOKUP($B93,Cuadro0!A:D,3,FALSE)),"",+VLOOKUP($B93,Cuadro0!A:D,3,FALSE))</f>
        <v/>
      </c>
      <c r="E93" s="3" t="str">
        <f>IF(ISNA(+VLOOKUP($B93,Cuadro0!A:D,4,FALSE)),"",+VLOOKUP($B93,Cuadro0!A:D,4,FALSE))</f>
        <v/>
      </c>
      <c r="F93" s="5"/>
      <c r="G93" s="3" t="str">
        <f>+IF(G$2=0,C93,IF(G$2=1,C91,IF(G$2=2,C92,"X")))</f>
        <v/>
      </c>
      <c r="H93" s="3" t="str">
        <f>+IF(H$2=0,D93,IF(H$2=1,D91,IF(H$2=2,D92,"X")))</f>
        <v/>
      </c>
      <c r="I93" s="3" t="str">
        <f>+IF(I$2=0,E93,IF(I$2=1,E91,IF(I$2=2,E92,"X")))</f>
        <v/>
      </c>
      <c r="J93" s="8" t="str">
        <f>IF(ISNA(+VLOOKUP(_xlfn.CONCAT(G93:I93),Cuadro3!E:F,2,FALSE)),"",+VLOOKUP(_xlfn.CONCAT(G93:I93),Cuadro3!E:F,2,FALSE))</f>
        <v/>
      </c>
    </row>
    <row r="94" spans="1:10" x14ac:dyDescent="0.25">
      <c r="A94">
        <v>91</v>
      </c>
      <c r="B94" s="33" t="str">
        <f t="shared" si="2"/>
        <v/>
      </c>
      <c r="C94" s="10" t="str">
        <f>IF(ISNA(+VLOOKUP($B94,Cuadro0!A:D,2,FALSE)),"",+VLOOKUP($B94,Cuadro0!A:D,2,FALSE))</f>
        <v/>
      </c>
      <c r="D94" s="10" t="str">
        <f>IF(ISNA(+VLOOKUP($B94,Cuadro0!A:D,3,FALSE)),"",+VLOOKUP($B94,Cuadro0!A:D,3,FALSE))</f>
        <v/>
      </c>
      <c r="E94" s="10" t="str">
        <f>IF(ISNA(+VLOOKUP($B94,Cuadro0!A:D,4,FALSE)),"",+VLOOKUP($B94,Cuadro0!A:D,4,FALSE))</f>
        <v/>
      </c>
      <c r="G94" s="10" t="str">
        <f>+IF(G$2=0,C94,IF(G$2=1,C95,IF(G$2=2,C96,"X")))</f>
        <v/>
      </c>
      <c r="H94" s="10" t="str">
        <f>+IF(H$2=0,D94,IF(H$2=1,D95,IF(H$2=2,D96,"X")))</f>
        <v/>
      </c>
      <c r="I94" s="10" t="str">
        <f>+IF(I$2=0,E94,IF(I$2=1,E95,IF(I$2=2,E96,"X")))</f>
        <v/>
      </c>
      <c r="J94" s="6" t="str">
        <f>IF(ISNA(+VLOOKUP(_xlfn.CONCAT(G94:I94),Cuadro1!E:F,2,FALSE)),"",+VLOOKUP(_xlfn.CONCAT(G94:I94),Cuadro1!E:F,2,FALSE))</f>
        <v/>
      </c>
    </row>
    <row r="95" spans="1:10" x14ac:dyDescent="0.25">
      <c r="A95">
        <v>92</v>
      </c>
      <c r="B95" s="33" t="str">
        <f t="shared" si="2"/>
        <v/>
      </c>
      <c r="C95" s="10" t="str">
        <f>IF(ISNA(+VLOOKUP($B95,Cuadro0!A:D,2,FALSE)),"",+VLOOKUP($B95,Cuadro0!A:D,2,FALSE))</f>
        <v/>
      </c>
      <c r="D95" s="10" t="str">
        <f>IF(ISNA(+VLOOKUP($B95,Cuadro0!A:D,3,FALSE)),"",+VLOOKUP($B95,Cuadro0!A:D,3,FALSE))</f>
        <v/>
      </c>
      <c r="E95" s="10" t="str">
        <f>IF(ISNA(+VLOOKUP($B95,Cuadro0!A:D,4,FALSE)),"",+VLOOKUP($B95,Cuadro0!A:D,4,FALSE))</f>
        <v/>
      </c>
      <c r="F95" s="10"/>
      <c r="G95" s="10" t="str">
        <f>+IF(G$2=0,C95,IF(G$2=1,C96,IF(G$2=2,C94,"X")))</f>
        <v/>
      </c>
      <c r="H95" s="10" t="str">
        <f>+IF(H$2=0,D95,IF(H$2=1,D96,IF(H$2=2,D94,"X")))</f>
        <v/>
      </c>
      <c r="I95" s="10" t="str">
        <f>+IF(I$2=0,E95,IF(I$2=1,E96,IF(I$2=2,E94,"X")))</f>
        <v/>
      </c>
      <c r="J95" s="7" t="str">
        <f>+IF(ISNA(+VLOOKUP(_xlfn.CONCAT(G95:I95),Cuadro2!E:F,2,FALSE)),"",+VLOOKUP(_xlfn.CONCAT(G95:I95),Cuadro2!E:F,2,FALSE))</f>
        <v/>
      </c>
    </row>
    <row r="96" spans="1:10" x14ac:dyDescent="0.25">
      <c r="A96">
        <v>93</v>
      </c>
      <c r="B96" s="34" t="str">
        <f t="shared" si="2"/>
        <v/>
      </c>
      <c r="C96" s="3" t="str">
        <f>IF(ISNA(+VLOOKUP($B96,Cuadro0!A:D,2,FALSE)),"",+VLOOKUP($B96,Cuadro0!A:D,2,FALSE))</f>
        <v/>
      </c>
      <c r="D96" s="3" t="str">
        <f>IF(ISNA(+VLOOKUP($B96,Cuadro0!A:D,3,FALSE)),"",+VLOOKUP($B96,Cuadro0!A:D,3,FALSE))</f>
        <v/>
      </c>
      <c r="E96" s="3" t="str">
        <f>IF(ISNA(+VLOOKUP($B96,Cuadro0!A:D,4,FALSE)),"",+VLOOKUP($B96,Cuadro0!A:D,4,FALSE))</f>
        <v/>
      </c>
      <c r="F96" s="5"/>
      <c r="G96" s="3" t="str">
        <f>+IF(G$2=0,C96,IF(G$2=1,C94,IF(G$2=2,C95,"X")))</f>
        <v/>
      </c>
      <c r="H96" s="3" t="str">
        <f>+IF(H$2=0,D96,IF(H$2=1,D94,IF(H$2=2,D95,"X")))</f>
        <v/>
      </c>
      <c r="I96" s="3" t="str">
        <f>+IF(I$2=0,E96,IF(I$2=1,E94,IF(I$2=2,E95,"X")))</f>
        <v/>
      </c>
      <c r="J96" s="8" t="str">
        <f>IF(ISNA(+VLOOKUP(_xlfn.CONCAT(G96:I96),Cuadro3!E:F,2,FALSE)),"",+VLOOKUP(_xlfn.CONCAT(G96:I96),Cuadro3!E:F,2,FALSE))</f>
        <v/>
      </c>
    </row>
    <row r="97" spans="1:10" x14ac:dyDescent="0.25">
      <c r="A97">
        <v>94</v>
      </c>
      <c r="B97" s="33" t="str">
        <f t="shared" si="2"/>
        <v/>
      </c>
      <c r="C97" s="10" t="str">
        <f>IF(ISNA(+VLOOKUP($B97,Cuadro0!A:D,2,FALSE)),"",+VLOOKUP($B97,Cuadro0!A:D,2,FALSE))</f>
        <v/>
      </c>
      <c r="D97" s="10" t="str">
        <f>IF(ISNA(+VLOOKUP($B97,Cuadro0!A:D,3,FALSE)),"",+VLOOKUP($B97,Cuadro0!A:D,3,FALSE))</f>
        <v/>
      </c>
      <c r="E97" s="10" t="str">
        <f>IF(ISNA(+VLOOKUP($B97,Cuadro0!A:D,4,FALSE)),"",+VLOOKUP($B97,Cuadro0!A:D,4,FALSE))</f>
        <v/>
      </c>
      <c r="G97" s="10" t="str">
        <f>+IF(G$2=0,C97,IF(G$2=1,C98,IF(G$2=2,C99,"X")))</f>
        <v/>
      </c>
      <c r="H97" s="10" t="str">
        <f>+IF(H$2=0,D97,IF(H$2=1,D98,IF(H$2=2,D99,"X")))</f>
        <v/>
      </c>
      <c r="I97" s="10" t="str">
        <f>+IF(I$2=0,E97,IF(I$2=1,E98,IF(I$2=2,E99,"X")))</f>
        <v/>
      </c>
      <c r="J97" s="6" t="str">
        <f>IF(ISNA(+VLOOKUP(_xlfn.CONCAT(G97:I97),Cuadro1!E:F,2,FALSE)),"",+VLOOKUP(_xlfn.CONCAT(G97:I97),Cuadro1!E:F,2,FALSE))</f>
        <v/>
      </c>
    </row>
    <row r="98" spans="1:10" x14ac:dyDescent="0.25">
      <c r="A98">
        <v>95</v>
      </c>
      <c r="B98" s="33" t="str">
        <f t="shared" si="2"/>
        <v/>
      </c>
      <c r="C98" s="10" t="str">
        <f>IF(ISNA(+VLOOKUP($B98,Cuadro0!A:D,2,FALSE)),"",+VLOOKUP($B98,Cuadro0!A:D,2,FALSE))</f>
        <v/>
      </c>
      <c r="D98" s="10" t="str">
        <f>IF(ISNA(+VLOOKUP($B98,Cuadro0!A:D,3,FALSE)),"",+VLOOKUP($B98,Cuadro0!A:D,3,FALSE))</f>
        <v/>
      </c>
      <c r="E98" s="10" t="str">
        <f>IF(ISNA(+VLOOKUP($B98,Cuadro0!A:D,4,FALSE)),"",+VLOOKUP($B98,Cuadro0!A:D,4,FALSE))</f>
        <v/>
      </c>
      <c r="F98" s="10"/>
      <c r="G98" s="10" t="str">
        <f>+IF(G$2=0,C98,IF(G$2=1,C99,IF(G$2=2,C97,"X")))</f>
        <v/>
      </c>
      <c r="H98" s="10" t="str">
        <f>+IF(H$2=0,D98,IF(H$2=1,D99,IF(H$2=2,D97,"X")))</f>
        <v/>
      </c>
      <c r="I98" s="10" t="str">
        <f>+IF(I$2=0,E98,IF(I$2=1,E99,IF(I$2=2,E97,"X")))</f>
        <v/>
      </c>
      <c r="J98" s="7" t="str">
        <f>+IF(ISNA(+VLOOKUP(_xlfn.CONCAT(G98:I98),Cuadro2!E:F,2,FALSE)),"",+VLOOKUP(_xlfn.CONCAT(G98:I98),Cuadro2!E:F,2,FALSE))</f>
        <v/>
      </c>
    </row>
    <row r="99" spans="1:10" x14ac:dyDescent="0.25">
      <c r="A99">
        <v>96</v>
      </c>
      <c r="B99" s="34" t="str">
        <f t="shared" si="2"/>
        <v/>
      </c>
      <c r="C99" s="3" t="str">
        <f>IF(ISNA(+VLOOKUP($B99,Cuadro0!A:D,2,FALSE)),"",+VLOOKUP($B99,Cuadro0!A:D,2,FALSE))</f>
        <v/>
      </c>
      <c r="D99" s="3" t="str">
        <f>IF(ISNA(+VLOOKUP($B99,Cuadro0!A:D,3,FALSE)),"",+VLOOKUP($B99,Cuadro0!A:D,3,FALSE))</f>
        <v/>
      </c>
      <c r="E99" s="3" t="str">
        <f>IF(ISNA(+VLOOKUP($B99,Cuadro0!A:D,4,FALSE)),"",+VLOOKUP($B99,Cuadro0!A:D,4,FALSE))</f>
        <v/>
      </c>
      <c r="F99" s="5"/>
      <c r="G99" s="3" t="str">
        <f>+IF(G$2=0,C99,IF(G$2=1,C97,IF(G$2=2,C98,"X")))</f>
        <v/>
      </c>
      <c r="H99" s="3" t="str">
        <f>+IF(H$2=0,D99,IF(H$2=1,D97,IF(H$2=2,D98,"X")))</f>
        <v/>
      </c>
      <c r="I99" s="3" t="str">
        <f>+IF(I$2=0,E99,IF(I$2=1,E97,IF(I$2=2,E98,"X")))</f>
        <v/>
      </c>
      <c r="J99" s="8" t="str">
        <f>IF(ISNA(+VLOOKUP(_xlfn.CONCAT(G99:I99),Cuadro3!E:F,2,FALSE)),"",+VLOOKUP(_xlfn.CONCAT(G99:I99),Cuadro3!E:F,2,FALSE))</f>
        <v/>
      </c>
    </row>
    <row r="100" spans="1:10" x14ac:dyDescent="0.25">
      <c r="A100">
        <v>97</v>
      </c>
      <c r="B100" s="33" t="str">
        <f t="shared" ref="B100:B111" si="3">+MID($N$1,A100,1)</f>
        <v/>
      </c>
      <c r="C100" s="10" t="str">
        <f>IF(ISNA(+VLOOKUP($B100,Cuadro0!A:D,2,FALSE)),"",+VLOOKUP($B100,Cuadro0!A:D,2,FALSE))</f>
        <v/>
      </c>
      <c r="D100" s="10" t="str">
        <f>IF(ISNA(+VLOOKUP($B100,Cuadro0!A:D,3,FALSE)),"",+VLOOKUP($B100,Cuadro0!A:D,3,FALSE))</f>
        <v/>
      </c>
      <c r="E100" s="10" t="str">
        <f>IF(ISNA(+VLOOKUP($B100,Cuadro0!A:D,4,FALSE)),"",+VLOOKUP($B100,Cuadro0!A:D,4,FALSE))</f>
        <v/>
      </c>
      <c r="G100" s="10" t="str">
        <f>+IF(G$2=0,C100,IF(G$2=1,C101,IF(G$2=2,C102,"X")))</f>
        <v/>
      </c>
      <c r="H100" s="10" t="str">
        <f>+IF(H$2=0,D100,IF(H$2=1,D101,IF(H$2=2,D102,"X")))</f>
        <v/>
      </c>
      <c r="I100" s="10" t="str">
        <f>+IF(I$2=0,E100,IF(I$2=1,E101,IF(I$2=2,E102,"X")))</f>
        <v/>
      </c>
      <c r="J100" s="6" t="str">
        <f>IF(ISNA(+VLOOKUP(_xlfn.CONCAT(G100:I100),Cuadro1!E:F,2,FALSE)),"",+VLOOKUP(_xlfn.CONCAT(G100:I100),Cuadro1!E:F,2,FALSE))</f>
        <v/>
      </c>
    </row>
    <row r="101" spans="1:10" x14ac:dyDescent="0.25">
      <c r="A101">
        <v>98</v>
      </c>
      <c r="B101" s="33" t="str">
        <f t="shared" si="3"/>
        <v/>
      </c>
      <c r="C101" s="10" t="str">
        <f>IF(ISNA(+VLOOKUP($B101,Cuadro0!A:D,2,FALSE)),"",+VLOOKUP($B101,Cuadro0!A:D,2,FALSE))</f>
        <v/>
      </c>
      <c r="D101" s="10" t="str">
        <f>IF(ISNA(+VLOOKUP($B101,Cuadro0!A:D,3,FALSE)),"",+VLOOKUP($B101,Cuadro0!A:D,3,FALSE))</f>
        <v/>
      </c>
      <c r="E101" s="10" t="str">
        <f>IF(ISNA(+VLOOKUP($B101,Cuadro0!A:D,4,FALSE)),"",+VLOOKUP($B101,Cuadro0!A:D,4,FALSE))</f>
        <v/>
      </c>
      <c r="F101" s="10"/>
      <c r="G101" s="10" t="str">
        <f>+IF(G$2=0,C101,IF(G$2=1,C102,IF(G$2=2,C100,"X")))</f>
        <v/>
      </c>
      <c r="H101" s="10" t="str">
        <f>+IF(H$2=0,D101,IF(H$2=1,D102,IF(H$2=2,D100,"X")))</f>
        <v/>
      </c>
      <c r="I101" s="10" t="str">
        <f>+IF(I$2=0,E101,IF(I$2=1,E102,IF(I$2=2,E100,"X")))</f>
        <v/>
      </c>
      <c r="J101" s="7" t="str">
        <f>+IF(ISNA(+VLOOKUP(_xlfn.CONCAT(G101:I101),Cuadro2!E:F,2,FALSE)),"",+VLOOKUP(_xlfn.CONCAT(G101:I101),Cuadro2!E:F,2,FALSE))</f>
        <v/>
      </c>
    </row>
    <row r="102" spans="1:10" x14ac:dyDescent="0.25">
      <c r="A102">
        <v>99</v>
      </c>
      <c r="B102" s="34" t="str">
        <f t="shared" si="3"/>
        <v/>
      </c>
      <c r="C102" s="3" t="str">
        <f>IF(ISNA(+VLOOKUP($B102,Cuadro0!A:D,2,FALSE)),"",+VLOOKUP($B102,Cuadro0!A:D,2,FALSE))</f>
        <v/>
      </c>
      <c r="D102" s="3" t="str">
        <f>IF(ISNA(+VLOOKUP($B102,Cuadro0!A:D,3,FALSE)),"",+VLOOKUP($B102,Cuadro0!A:D,3,FALSE))</f>
        <v/>
      </c>
      <c r="E102" s="3" t="str">
        <f>IF(ISNA(+VLOOKUP($B102,Cuadro0!A:D,4,FALSE)),"",+VLOOKUP($B102,Cuadro0!A:D,4,FALSE))</f>
        <v/>
      </c>
      <c r="F102" s="5"/>
      <c r="G102" s="3" t="str">
        <f>+IF(G$2=0,C102,IF(G$2=1,C100,IF(G$2=2,C101,"X")))</f>
        <v/>
      </c>
      <c r="H102" s="3" t="str">
        <f>+IF(H$2=0,D102,IF(H$2=1,D100,IF(H$2=2,D101,"X")))</f>
        <v/>
      </c>
      <c r="I102" s="3" t="str">
        <f>+IF(I$2=0,E102,IF(I$2=1,E100,IF(I$2=2,E101,"X")))</f>
        <v/>
      </c>
      <c r="J102" s="8" t="str">
        <f>IF(ISNA(+VLOOKUP(_xlfn.CONCAT(G102:I102),Cuadro3!E:F,2,FALSE)),"",+VLOOKUP(_xlfn.CONCAT(G102:I102),Cuadro3!E:F,2,FALSE))</f>
        <v/>
      </c>
    </row>
    <row r="103" spans="1:10" x14ac:dyDescent="0.25">
      <c r="A103">
        <v>100</v>
      </c>
      <c r="B103" s="33" t="str">
        <f t="shared" si="3"/>
        <v/>
      </c>
      <c r="C103" s="10" t="str">
        <f>IF(ISNA(+VLOOKUP($B103,Cuadro0!A:D,2,FALSE)),"",+VLOOKUP($B103,Cuadro0!A:D,2,FALSE))</f>
        <v/>
      </c>
      <c r="D103" s="10" t="str">
        <f>IF(ISNA(+VLOOKUP($B103,Cuadro0!A:D,3,FALSE)),"",+VLOOKUP($B103,Cuadro0!A:D,3,FALSE))</f>
        <v/>
      </c>
      <c r="E103" s="10" t="str">
        <f>IF(ISNA(+VLOOKUP($B103,Cuadro0!A:D,4,FALSE)),"",+VLOOKUP($B103,Cuadro0!A:D,4,FALSE))</f>
        <v/>
      </c>
      <c r="G103" s="10" t="str">
        <f>+IF(G$2=0,C103,IF(G$2=1,C104,IF(G$2=2,C105,"X")))</f>
        <v/>
      </c>
      <c r="H103" s="10" t="str">
        <f>+IF(H$2=0,D103,IF(H$2=1,D104,IF(H$2=2,D105,"X")))</f>
        <v/>
      </c>
      <c r="I103" s="10" t="str">
        <f>+IF(I$2=0,E103,IF(I$2=1,E104,IF(I$2=2,E105,"X")))</f>
        <v/>
      </c>
      <c r="J103" s="6" t="str">
        <f>IF(ISNA(+VLOOKUP(_xlfn.CONCAT(G103:I103),Cuadro1!E:F,2,FALSE)),"",+VLOOKUP(_xlfn.CONCAT(G103:I103),Cuadro1!E:F,2,FALSE))</f>
        <v/>
      </c>
    </row>
    <row r="104" spans="1:10" x14ac:dyDescent="0.25">
      <c r="A104">
        <v>101</v>
      </c>
      <c r="B104" s="33" t="str">
        <f t="shared" si="3"/>
        <v/>
      </c>
      <c r="C104" s="10" t="str">
        <f>IF(ISNA(+VLOOKUP($B104,Cuadro0!A:D,2,FALSE)),"",+VLOOKUP($B104,Cuadro0!A:D,2,FALSE))</f>
        <v/>
      </c>
      <c r="D104" s="10" t="str">
        <f>IF(ISNA(+VLOOKUP($B104,Cuadro0!A:D,3,FALSE)),"",+VLOOKUP($B104,Cuadro0!A:D,3,FALSE))</f>
        <v/>
      </c>
      <c r="E104" s="10" t="str">
        <f>IF(ISNA(+VLOOKUP($B104,Cuadro0!A:D,4,FALSE)),"",+VLOOKUP($B104,Cuadro0!A:D,4,FALSE))</f>
        <v/>
      </c>
      <c r="F104" s="10"/>
      <c r="G104" s="10" t="str">
        <f>+IF(G$2=0,C104,IF(G$2=1,C105,IF(G$2=2,C103,"X")))</f>
        <v/>
      </c>
      <c r="H104" s="10" t="str">
        <f>+IF(H$2=0,D104,IF(H$2=1,D105,IF(H$2=2,D103,"X")))</f>
        <v/>
      </c>
      <c r="I104" s="10" t="str">
        <f>+IF(I$2=0,E104,IF(I$2=1,E105,IF(I$2=2,E103,"X")))</f>
        <v/>
      </c>
      <c r="J104" s="7" t="str">
        <f>+IF(ISNA(+VLOOKUP(_xlfn.CONCAT(G104:I104),Cuadro2!E:F,2,FALSE)),"",+VLOOKUP(_xlfn.CONCAT(G104:I104),Cuadro2!E:F,2,FALSE))</f>
        <v/>
      </c>
    </row>
    <row r="105" spans="1:10" x14ac:dyDescent="0.25">
      <c r="A105">
        <v>102</v>
      </c>
      <c r="B105" s="34" t="str">
        <f t="shared" si="3"/>
        <v/>
      </c>
      <c r="C105" s="3" t="str">
        <f>IF(ISNA(+VLOOKUP($B105,Cuadro0!A:D,2,FALSE)),"",+VLOOKUP($B105,Cuadro0!A:D,2,FALSE))</f>
        <v/>
      </c>
      <c r="D105" s="3" t="str">
        <f>IF(ISNA(+VLOOKUP($B105,Cuadro0!A:D,3,FALSE)),"",+VLOOKUP($B105,Cuadro0!A:D,3,FALSE))</f>
        <v/>
      </c>
      <c r="E105" s="3" t="str">
        <f>IF(ISNA(+VLOOKUP($B105,Cuadro0!A:D,4,FALSE)),"",+VLOOKUP($B105,Cuadro0!A:D,4,FALSE))</f>
        <v/>
      </c>
      <c r="F105" s="5"/>
      <c r="G105" s="3" t="str">
        <f>+IF(G$2=0,C105,IF(G$2=1,C103,IF(G$2=2,C104,"X")))</f>
        <v/>
      </c>
      <c r="H105" s="3" t="str">
        <f>+IF(H$2=0,D105,IF(H$2=1,D103,IF(H$2=2,D104,"X")))</f>
        <v/>
      </c>
      <c r="I105" s="3" t="str">
        <f>+IF(I$2=0,E105,IF(I$2=1,E103,IF(I$2=2,E104,"X")))</f>
        <v/>
      </c>
      <c r="J105" s="8" t="str">
        <f>IF(ISNA(+VLOOKUP(_xlfn.CONCAT(G105:I105),Cuadro3!E:F,2,FALSE)),"",+VLOOKUP(_xlfn.CONCAT(G105:I105),Cuadro3!E:F,2,FALSE))</f>
        <v/>
      </c>
    </row>
    <row r="106" spans="1:10" x14ac:dyDescent="0.25">
      <c r="A106">
        <v>103</v>
      </c>
      <c r="B106" s="33" t="str">
        <f t="shared" si="3"/>
        <v/>
      </c>
      <c r="C106" s="10" t="str">
        <f>IF(ISNA(+VLOOKUP($B106,Cuadro0!A:D,2,FALSE)),"",+VLOOKUP($B106,Cuadro0!A:D,2,FALSE))</f>
        <v/>
      </c>
      <c r="D106" s="10" t="str">
        <f>IF(ISNA(+VLOOKUP($B106,Cuadro0!A:D,3,FALSE)),"",+VLOOKUP($B106,Cuadro0!A:D,3,FALSE))</f>
        <v/>
      </c>
      <c r="E106" s="10" t="str">
        <f>IF(ISNA(+VLOOKUP($B106,Cuadro0!A:D,4,FALSE)),"",+VLOOKUP($B106,Cuadro0!A:D,4,FALSE))</f>
        <v/>
      </c>
      <c r="G106" s="10" t="str">
        <f>+IF(G$2=0,C106,IF(G$2=1,C107,IF(G$2=2,C108,"X")))</f>
        <v/>
      </c>
      <c r="H106" s="10" t="str">
        <f>+IF(H$2=0,D106,IF(H$2=1,D107,IF(H$2=2,D108,"X")))</f>
        <v/>
      </c>
      <c r="I106" s="10" t="str">
        <f>+IF(I$2=0,E106,IF(I$2=1,E107,IF(I$2=2,E108,"X")))</f>
        <v/>
      </c>
      <c r="J106" s="6" t="str">
        <f>IF(ISNA(+VLOOKUP(_xlfn.CONCAT(G106:I106),Cuadro1!E:F,2,FALSE)),"",+VLOOKUP(_xlfn.CONCAT(G106:I106),Cuadro1!E:F,2,FALSE))</f>
        <v/>
      </c>
    </row>
    <row r="107" spans="1:10" x14ac:dyDescent="0.25">
      <c r="A107">
        <v>104</v>
      </c>
      <c r="B107" s="33" t="str">
        <f t="shared" si="3"/>
        <v/>
      </c>
      <c r="C107" s="10" t="str">
        <f>IF(ISNA(+VLOOKUP($B107,Cuadro0!A:D,2,FALSE)),"",+VLOOKUP($B107,Cuadro0!A:D,2,FALSE))</f>
        <v/>
      </c>
      <c r="D107" s="10" t="str">
        <f>IF(ISNA(+VLOOKUP($B107,Cuadro0!A:D,3,FALSE)),"",+VLOOKUP($B107,Cuadro0!A:D,3,FALSE))</f>
        <v/>
      </c>
      <c r="E107" s="10" t="str">
        <f>IF(ISNA(+VLOOKUP($B107,Cuadro0!A:D,4,FALSE)),"",+VLOOKUP($B107,Cuadro0!A:D,4,FALSE))</f>
        <v/>
      </c>
      <c r="F107" s="10"/>
      <c r="G107" s="10" t="str">
        <f>+IF(G$2=0,C107,IF(G$2=1,C108,IF(G$2=2,C106,"X")))</f>
        <v/>
      </c>
      <c r="H107" s="10" t="str">
        <f>+IF(H$2=0,D107,IF(H$2=1,D108,IF(H$2=2,D106,"X")))</f>
        <v/>
      </c>
      <c r="I107" s="10" t="str">
        <f>+IF(I$2=0,E107,IF(I$2=1,E108,IF(I$2=2,E106,"X")))</f>
        <v/>
      </c>
      <c r="J107" s="7" t="str">
        <f>+IF(ISNA(+VLOOKUP(_xlfn.CONCAT(G107:I107),Cuadro2!E:F,2,FALSE)),"",+VLOOKUP(_xlfn.CONCAT(G107:I107),Cuadro2!E:F,2,FALSE))</f>
        <v/>
      </c>
    </row>
    <row r="108" spans="1:10" x14ac:dyDescent="0.25">
      <c r="A108">
        <v>105</v>
      </c>
      <c r="B108" s="34" t="str">
        <f t="shared" si="3"/>
        <v/>
      </c>
      <c r="C108" s="3" t="str">
        <f>IF(ISNA(+VLOOKUP($B108,Cuadro0!A:D,2,FALSE)),"",+VLOOKUP($B108,Cuadro0!A:D,2,FALSE))</f>
        <v/>
      </c>
      <c r="D108" s="3" t="str">
        <f>IF(ISNA(+VLOOKUP($B108,Cuadro0!A:D,3,FALSE)),"",+VLOOKUP($B108,Cuadro0!A:D,3,FALSE))</f>
        <v/>
      </c>
      <c r="E108" s="3" t="str">
        <f>IF(ISNA(+VLOOKUP($B108,Cuadro0!A:D,4,FALSE)),"",+VLOOKUP($B108,Cuadro0!A:D,4,FALSE))</f>
        <v/>
      </c>
      <c r="F108" s="5"/>
      <c r="G108" s="3" t="str">
        <f>+IF(G$2=0,C108,IF(G$2=1,C106,IF(G$2=2,C107,"X")))</f>
        <v/>
      </c>
      <c r="H108" s="3" t="str">
        <f>+IF(H$2=0,D108,IF(H$2=1,D106,IF(H$2=2,D107,"X")))</f>
        <v/>
      </c>
      <c r="I108" s="3" t="str">
        <f>+IF(I$2=0,E108,IF(I$2=1,E106,IF(I$2=2,E107,"X")))</f>
        <v/>
      </c>
      <c r="J108" s="8" t="str">
        <f>IF(ISNA(+VLOOKUP(_xlfn.CONCAT(G108:I108),Cuadro3!E:F,2,FALSE)),"",+VLOOKUP(_xlfn.CONCAT(G108:I108),Cuadro3!E:F,2,FALSE))</f>
        <v/>
      </c>
    </row>
    <row r="109" spans="1:10" x14ac:dyDescent="0.25">
      <c r="A109">
        <v>106</v>
      </c>
      <c r="B109" s="33" t="str">
        <f t="shared" si="3"/>
        <v/>
      </c>
      <c r="C109" s="10" t="str">
        <f>IF(ISNA(+VLOOKUP($B109,Cuadro0!A:D,2,FALSE)),"",+VLOOKUP($B109,Cuadro0!A:D,2,FALSE))</f>
        <v/>
      </c>
      <c r="D109" s="10" t="str">
        <f>IF(ISNA(+VLOOKUP($B109,Cuadro0!A:D,3,FALSE)),"",+VLOOKUP($B109,Cuadro0!A:D,3,FALSE))</f>
        <v/>
      </c>
      <c r="E109" s="10" t="str">
        <f>IF(ISNA(+VLOOKUP($B109,Cuadro0!A:D,4,FALSE)),"",+VLOOKUP($B109,Cuadro0!A:D,4,FALSE))</f>
        <v/>
      </c>
      <c r="G109" s="10" t="str">
        <f>+IF(G$2=0,C109,IF(G$2=1,C110,IF(G$2=2,C111,"X")))</f>
        <v/>
      </c>
      <c r="H109" s="10" t="str">
        <f>+IF(H$2=0,D109,IF(H$2=1,D110,IF(H$2=2,D111,"X")))</f>
        <v/>
      </c>
      <c r="I109" s="10" t="str">
        <f>+IF(I$2=0,E109,IF(I$2=1,E110,IF(I$2=2,E111,"X")))</f>
        <v/>
      </c>
      <c r="J109" s="6" t="str">
        <f>IF(ISNA(+VLOOKUP(_xlfn.CONCAT(G109:I109),Cuadro1!E:F,2,FALSE)),"",+VLOOKUP(_xlfn.CONCAT(G109:I109),Cuadro1!E:F,2,FALSE))</f>
        <v/>
      </c>
    </row>
    <row r="110" spans="1:10" x14ac:dyDescent="0.25">
      <c r="A110">
        <v>107</v>
      </c>
      <c r="B110" s="33" t="str">
        <f t="shared" si="3"/>
        <v/>
      </c>
      <c r="C110" s="10" t="str">
        <f>IF(ISNA(+VLOOKUP($B110,Cuadro0!A:D,2,FALSE)),"",+VLOOKUP($B110,Cuadro0!A:D,2,FALSE))</f>
        <v/>
      </c>
      <c r="D110" s="10" t="str">
        <f>IF(ISNA(+VLOOKUP($B110,Cuadro0!A:D,3,FALSE)),"",+VLOOKUP($B110,Cuadro0!A:D,3,FALSE))</f>
        <v/>
      </c>
      <c r="E110" s="10" t="str">
        <f>IF(ISNA(+VLOOKUP($B110,Cuadro0!A:D,4,FALSE)),"",+VLOOKUP($B110,Cuadro0!A:D,4,FALSE))</f>
        <v/>
      </c>
      <c r="F110" s="10"/>
      <c r="G110" s="10" t="str">
        <f>+IF(G$2=0,C110,IF(G$2=1,C111,IF(G$2=2,C109,"X")))</f>
        <v/>
      </c>
      <c r="H110" s="10" t="str">
        <f>+IF(H$2=0,D110,IF(H$2=1,D111,IF(H$2=2,D109,"X")))</f>
        <v/>
      </c>
      <c r="I110" s="10" t="str">
        <f>+IF(I$2=0,E110,IF(I$2=1,E111,IF(I$2=2,E109,"X")))</f>
        <v/>
      </c>
      <c r="J110" s="7" t="str">
        <f>+IF(ISNA(+VLOOKUP(_xlfn.CONCAT(G110:I110),Cuadro2!E:F,2,FALSE)),"",+VLOOKUP(_xlfn.CONCAT(G110:I110),Cuadro2!E:F,2,FALSE))</f>
        <v/>
      </c>
    </row>
    <row r="111" spans="1:10" x14ac:dyDescent="0.25">
      <c r="A111">
        <v>108</v>
      </c>
      <c r="B111" s="34" t="str">
        <f t="shared" si="3"/>
        <v/>
      </c>
      <c r="C111" s="3" t="str">
        <f>IF(ISNA(+VLOOKUP($B111,Cuadro0!A:D,2,FALSE)),"",+VLOOKUP($B111,Cuadro0!A:D,2,FALSE))</f>
        <v/>
      </c>
      <c r="D111" s="3" t="str">
        <f>IF(ISNA(+VLOOKUP($B111,Cuadro0!A:D,3,FALSE)),"",+VLOOKUP($B111,Cuadro0!A:D,3,FALSE))</f>
        <v/>
      </c>
      <c r="E111" s="3" t="str">
        <f>IF(ISNA(+VLOOKUP($B111,Cuadro0!A:D,4,FALSE)),"",+VLOOKUP($B111,Cuadro0!A:D,4,FALSE))</f>
        <v/>
      </c>
      <c r="F111" s="5"/>
      <c r="G111" s="3" t="str">
        <f>+IF(G$2=0,C111,IF(G$2=1,C109,IF(G$2=2,C110,"X")))</f>
        <v/>
      </c>
      <c r="H111" s="3" t="str">
        <f>+IF(H$2=0,D111,IF(H$2=1,D109,IF(H$2=2,D110,"X")))</f>
        <v/>
      </c>
      <c r="I111" s="3" t="str">
        <f>+IF(I$2=0,E111,IF(I$2=1,E109,IF(I$2=2,E110,"X")))</f>
        <v/>
      </c>
      <c r="J111" s="8" t="str">
        <f>IF(ISNA(+VLOOKUP(_xlfn.CONCAT(G111:I111),Cuadro3!E:F,2,FALSE)),"",+VLOOKUP(_xlfn.CONCAT(G111:I111),Cuadro3!E:F,2,FALSE))</f>
        <v/>
      </c>
    </row>
  </sheetData>
  <mergeCells count="1">
    <mergeCell ref="G1:I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FBCBE-BE4D-4631-9230-F1333CC3CA58}">
  <sheetPr codeName="Hoja6"/>
  <dimension ref="A1:N111"/>
  <sheetViews>
    <sheetView topLeftCell="A85" workbookViewId="0">
      <selection activeCell="J10" sqref="J10"/>
    </sheetView>
  </sheetViews>
  <sheetFormatPr baseColWidth="10" defaultColWidth="3.7109375" defaultRowHeight="15" x14ac:dyDescent="0.25"/>
  <cols>
    <col min="2" max="2" width="9.42578125" style="10" bestFit="1" customWidth="1"/>
    <col min="3" max="5" width="3.7109375" style="10"/>
    <col min="7" max="10" width="3.7109375" style="10"/>
    <col min="11" max="11" width="3.7109375" style="26"/>
    <col min="12" max="12" width="3.7109375" style="27"/>
    <col min="13" max="13" width="10.42578125" bestFit="1" customWidth="1"/>
    <col min="14" max="14" width="138.140625" customWidth="1"/>
  </cols>
  <sheetData>
    <row r="1" spans="1:14" x14ac:dyDescent="0.25">
      <c r="G1" s="71" t="s">
        <v>31</v>
      </c>
      <c r="H1" s="71"/>
      <c r="I1" s="71"/>
      <c r="M1" s="28" t="s">
        <v>32</v>
      </c>
      <c r="N1" s="37" t="str">
        <f>+Config!S25</f>
        <v>Sxzpxkdf-vj-enrfhjliyshjklcgaymptukOqhkbhcix-mrruiriczybtubrsxz</v>
      </c>
    </row>
    <row r="2" spans="1:14" x14ac:dyDescent="0.25">
      <c r="G2" s="10">
        <f>+Config!P4</f>
        <v>0</v>
      </c>
      <c r="H2" s="10">
        <f>+Config!P5</f>
        <v>1</v>
      </c>
      <c r="I2" s="10">
        <f>+Config!P6</f>
        <v>2</v>
      </c>
      <c r="M2" s="28" t="s">
        <v>38</v>
      </c>
      <c r="N2" s="38" t="str">
        <f>+_xlfn.CONCAT(J4:J111)</f>
        <v>YOUWILLOFCOURSENEEDSOMEWHERETOSTDRTSOHOPEFULLYTHISWILRASSISTYOU</v>
      </c>
    </row>
    <row r="3" spans="1:14" x14ac:dyDescent="0.25">
      <c r="B3" s="4"/>
      <c r="C3" s="4" t="s">
        <v>0</v>
      </c>
      <c r="D3" s="4" t="s">
        <v>1</v>
      </c>
      <c r="E3" s="4" t="s">
        <v>2</v>
      </c>
      <c r="F3" s="4"/>
      <c r="G3" s="4" t="s">
        <v>0</v>
      </c>
      <c r="H3" s="4" t="s">
        <v>1</v>
      </c>
      <c r="I3" s="4" t="s">
        <v>2</v>
      </c>
      <c r="J3" s="3"/>
    </row>
    <row r="4" spans="1:14" x14ac:dyDescent="0.25">
      <c r="A4">
        <v>1</v>
      </c>
      <c r="B4" s="6" t="str">
        <f t="shared" ref="B4:B35" si="0">+MID($N$1,A4,1)</f>
        <v>S</v>
      </c>
      <c r="C4" s="10">
        <f>IF(ISNA(+VLOOKUP($B4,Cuadro1!A:D,2,FALSE)),"",+VLOOKUP($B4,Cuadro1!A:D,2,FALSE))</f>
        <v>1</v>
      </c>
      <c r="D4" s="10">
        <f>IF(ISNA(+VLOOKUP($B4,Cuadro1!A:D,3,FALSE)),"",+VLOOKUP($B4,Cuadro1!A:D,3,FALSE))</f>
        <v>2</v>
      </c>
      <c r="E4" s="10">
        <f>IF(ISNA(+VLOOKUP($B4,Cuadro1!A:D,4,FALSE)),"",+VLOOKUP($B4,Cuadro1!A:D,4,FALSE))</f>
        <v>3</v>
      </c>
      <c r="G4" s="10">
        <f>+IF(G$2=0,C4,IF(G$2=1,C6,IF(G$2=2,C5,"X")))</f>
        <v>1</v>
      </c>
      <c r="H4" s="10">
        <f>+IF(H$2=0,D4,IF(H$2=1,D6,IF(H$2=2,D5,"X")))</f>
        <v>3</v>
      </c>
      <c r="I4" s="10">
        <f>+IF(I$2=0,E4,IF(I$2=1,E6,IF(I$2=2,E5,"X")))</f>
        <v>3</v>
      </c>
      <c r="J4" s="9" t="str">
        <f>IF(ISNA(+VLOOKUP(_xlfn.CONCAT(G4:I4),Cuadro0!E:F,2,FALSE)),"",+VLOOKUP(_xlfn.CONCAT(G4:I4),Cuadro0!E:F,2,FALSE))</f>
        <v>Y</v>
      </c>
    </row>
    <row r="5" spans="1:14" x14ac:dyDescent="0.25">
      <c r="A5">
        <v>2</v>
      </c>
      <c r="B5" s="7" t="str">
        <f t="shared" si="0"/>
        <v>x</v>
      </c>
      <c r="C5" s="10">
        <f>IF(ISNA(+VLOOKUP($B5,Cuadro2!A:D,2,FALSE)),"",+VLOOKUP($B5,Cuadro2!A:D,2,FALSE))</f>
        <v>3</v>
      </c>
      <c r="D5" s="10">
        <f>IF(ISNA(+VLOOKUP($B5,Cuadro2!A:D,3,FALSE)),"",+VLOOKUP($B5,Cuadro2!A:D,3,FALSE))</f>
        <v>1</v>
      </c>
      <c r="E5" s="10">
        <f>IF(ISNA(+VLOOKUP($B5,Cuadro2!A:D,4,FALSE)),"",+VLOOKUP($B5,Cuadro2!A:D,4,FALSE))</f>
        <v>3</v>
      </c>
      <c r="F5" s="10"/>
      <c r="G5" s="10">
        <f>+IF(G$2=0,C5,IF(G$2=1,C4,IF(G$2=2,C6,"X")))</f>
        <v>3</v>
      </c>
      <c r="H5" s="10">
        <f>+IF(H$2=0,D5,IF(H$2=1,D4,IF(H$2=2,D6,"X")))</f>
        <v>2</v>
      </c>
      <c r="I5" s="10">
        <f>+IF(I$2=0,E5,IF(I$2=1,E4,IF(I$2=2,E6,"X")))</f>
        <v>2</v>
      </c>
      <c r="J5" s="9" t="str">
        <f>IF(ISNA(+VLOOKUP(_xlfn.CONCAT(G5:I5),Cuadro0!E:F,2,FALSE)),"",+VLOOKUP(_xlfn.CONCAT(G5:I5),Cuadro0!E:F,2,FALSE))</f>
        <v>O</v>
      </c>
    </row>
    <row r="6" spans="1:14" x14ac:dyDescent="0.25">
      <c r="A6">
        <v>3</v>
      </c>
      <c r="B6" s="8" t="str">
        <f t="shared" si="0"/>
        <v>z</v>
      </c>
      <c r="C6" s="3">
        <f>IF(ISNA(+VLOOKUP($B6,Cuadro3!A:D,2,FALSE)),"",+VLOOKUP($B6,Cuadro3!A:D,2,FALSE))</f>
        <v>3</v>
      </c>
      <c r="D6" s="3">
        <f>IF(ISNA(+VLOOKUP($B6,Cuadro3!A:D,3,FALSE)),"",+VLOOKUP($B6,Cuadro3!A:D,3,FALSE))</f>
        <v>3</v>
      </c>
      <c r="E6" s="3">
        <f>IF(ISNA(+VLOOKUP($B6,Cuadro3!A:D,4,FALSE)),"",+VLOOKUP($B6,Cuadro3!A:D,4,FALSE))</f>
        <v>2</v>
      </c>
      <c r="F6" s="5"/>
      <c r="G6" s="3">
        <f>+IF(G$2=0,C6,IF(G$2=1,C5,IF(G$2=2,C4,"X")))</f>
        <v>3</v>
      </c>
      <c r="H6" s="3">
        <f>+IF(H$2=0,D6,IF(H$2=1,D5,IF(H$2=2,D4,"X")))</f>
        <v>1</v>
      </c>
      <c r="I6" s="3">
        <f>+IF(I$2=0,E6,IF(I$2=1,E5,IF(I$2=2,E4,"X")))</f>
        <v>3</v>
      </c>
      <c r="J6" s="9" t="str">
        <f>IF(ISNA(+VLOOKUP(_xlfn.CONCAT(G6:I6),Cuadro0!E:F,2,FALSE)),"",+VLOOKUP(_xlfn.CONCAT(G6:I6),Cuadro0!E:F,2,FALSE))</f>
        <v>U</v>
      </c>
    </row>
    <row r="7" spans="1:14" x14ac:dyDescent="0.25">
      <c r="A7">
        <v>4</v>
      </c>
      <c r="B7" s="6" t="str">
        <f t="shared" si="0"/>
        <v>p</v>
      </c>
      <c r="C7" s="10">
        <f>IF(ISNA(+VLOOKUP($B7,Cuadro1!A:D,2,FALSE)),"",+VLOOKUP($B7,Cuadro1!A:D,2,FALSE))</f>
        <v>2</v>
      </c>
      <c r="D7" s="10">
        <f>IF(ISNA(+VLOOKUP($B7,Cuadro1!A:D,3,FALSE)),"",+VLOOKUP($B7,Cuadro1!A:D,3,FALSE))</f>
        <v>3</v>
      </c>
      <c r="E7" s="10">
        <f>IF(ISNA(+VLOOKUP($B7,Cuadro1!A:D,4,FALSE)),"",+VLOOKUP($B7,Cuadro1!A:D,4,FALSE))</f>
        <v>2</v>
      </c>
      <c r="G7" s="10">
        <f>+IF(G$2=0,C7,IF(G$2=1,C9,IF(G$2=2,C8,"X")))</f>
        <v>2</v>
      </c>
      <c r="H7" s="10">
        <f>+IF(H$2=0,D7,IF(H$2=1,D9,IF(H$2=2,D8,"X")))</f>
        <v>2</v>
      </c>
      <c r="I7" s="10">
        <f>+IF(I$2=0,E7,IF(I$2=1,E9,IF(I$2=2,E8,"X")))</f>
        <v>3</v>
      </c>
      <c r="J7" s="9" t="str">
        <f>IF(ISNA(+VLOOKUP(_xlfn.CONCAT(G7:I7),Cuadro0!E:F,2,FALSE)),"",+VLOOKUP(_xlfn.CONCAT(G7:I7),Cuadro0!E:F,2,FALSE))</f>
        <v>W</v>
      </c>
    </row>
    <row r="8" spans="1:14" x14ac:dyDescent="0.25">
      <c r="A8">
        <v>5</v>
      </c>
      <c r="B8" s="7" t="str">
        <f t="shared" si="0"/>
        <v>x</v>
      </c>
      <c r="C8" s="10">
        <f>IF(ISNA(+VLOOKUP($B8,Cuadro2!A:D,2,FALSE)),"",+VLOOKUP($B8,Cuadro2!A:D,2,FALSE))</f>
        <v>3</v>
      </c>
      <c r="D8" s="10">
        <f>IF(ISNA(+VLOOKUP($B8,Cuadro2!A:D,3,FALSE)),"",+VLOOKUP($B8,Cuadro2!A:D,3,FALSE))</f>
        <v>1</v>
      </c>
      <c r="E8" s="10">
        <f>IF(ISNA(+VLOOKUP($B8,Cuadro2!A:D,4,FALSE)),"",+VLOOKUP($B8,Cuadro2!A:D,4,FALSE))</f>
        <v>3</v>
      </c>
      <c r="F8" s="10"/>
      <c r="G8" s="10">
        <f>+IF(G$2=0,C8,IF(G$2=1,C7,IF(G$2=2,C9,"X")))</f>
        <v>3</v>
      </c>
      <c r="H8" s="10">
        <f>+IF(H$2=0,D8,IF(H$2=1,D7,IF(H$2=2,D9,"X")))</f>
        <v>3</v>
      </c>
      <c r="I8" s="10">
        <f>+IF(I$2=0,E8,IF(I$2=1,E7,IF(I$2=2,E9,"X")))</f>
        <v>1</v>
      </c>
      <c r="J8" s="9" t="str">
        <f>IF(ISNA(+VLOOKUP(_xlfn.CONCAT(G8:I8),Cuadro0!E:F,2,FALSE)),"",+VLOOKUP(_xlfn.CONCAT(G8:I8),Cuadro0!E:F,2,FALSE))</f>
        <v>I</v>
      </c>
    </row>
    <row r="9" spans="1:14" x14ac:dyDescent="0.25">
      <c r="A9">
        <v>6</v>
      </c>
      <c r="B9" s="8" t="str">
        <f t="shared" si="0"/>
        <v>k</v>
      </c>
      <c r="C9" s="3">
        <f>IF(ISNA(+VLOOKUP($B9,Cuadro3!A:D,2,FALSE)),"",+VLOOKUP($B9,Cuadro3!A:D,2,FALSE))</f>
        <v>3</v>
      </c>
      <c r="D9" s="3">
        <f>IF(ISNA(+VLOOKUP($B9,Cuadro3!A:D,3,FALSE)),"",+VLOOKUP($B9,Cuadro3!A:D,3,FALSE))</f>
        <v>2</v>
      </c>
      <c r="E9" s="3">
        <f>IF(ISNA(+VLOOKUP($B9,Cuadro3!A:D,4,FALSE)),"",+VLOOKUP($B9,Cuadro3!A:D,4,FALSE))</f>
        <v>1</v>
      </c>
      <c r="F9" s="5"/>
      <c r="G9" s="3">
        <f>+IF(G$2=0,C9,IF(G$2=1,C8,IF(G$2=2,C7,"X")))</f>
        <v>3</v>
      </c>
      <c r="H9" s="3">
        <f>+IF(H$2=0,D9,IF(H$2=1,D8,IF(H$2=2,D7,"X")))</f>
        <v>1</v>
      </c>
      <c r="I9" s="3">
        <f>+IF(I$2=0,E9,IF(I$2=1,E8,IF(I$2=2,E7,"X")))</f>
        <v>2</v>
      </c>
      <c r="J9" s="9" t="str">
        <f>IF(ISNA(+VLOOKUP(_xlfn.CONCAT(G9:I9),Cuadro0!E:F,2,FALSE)),"",+VLOOKUP(_xlfn.CONCAT(G9:I9),Cuadro0!E:F,2,FALSE))</f>
        <v>L</v>
      </c>
    </row>
    <row r="10" spans="1:14" x14ac:dyDescent="0.25">
      <c r="A10">
        <v>7</v>
      </c>
      <c r="B10" s="6" t="str">
        <f t="shared" si="0"/>
        <v>d</v>
      </c>
      <c r="C10" s="10">
        <f>IF(ISNA(+VLOOKUP($B10,Cuadro1!A:D,2,FALSE)),"",+VLOOKUP($B10,Cuadro1!A:D,2,FALSE))</f>
        <v>3</v>
      </c>
      <c r="D10" s="10">
        <f>IF(ISNA(+VLOOKUP($B10,Cuadro1!A:D,3,FALSE)),"",+VLOOKUP($B10,Cuadro1!A:D,3,FALSE))</f>
        <v>2</v>
      </c>
      <c r="E10" s="10">
        <f>IF(ISNA(+VLOOKUP($B10,Cuadro1!A:D,4,FALSE)),"",+VLOOKUP($B10,Cuadro1!A:D,4,FALSE))</f>
        <v>1</v>
      </c>
      <c r="G10" s="10">
        <f>+IF(G$2=0,C10,IF(G$2=1,C12,IF(G$2=2,C11,"X")))</f>
        <v>3</v>
      </c>
      <c r="H10" s="10">
        <f>+IF(H$2=0,D10,IF(H$2=1,D12,IF(H$2=2,D11,"X")))</f>
        <v>1</v>
      </c>
      <c r="I10" s="10">
        <f>+IF(I$2=0,E10,IF(I$2=1,E12,IF(I$2=2,E11,"X")))</f>
        <v>2</v>
      </c>
      <c r="J10" s="9" t="str">
        <f>IF(ISNA(+VLOOKUP(_xlfn.CONCAT(G10:I10),Cuadro0!E:F,2,FALSE)),"",+VLOOKUP(_xlfn.CONCAT(G10:I10),Cuadro0!E:F,2,FALSE))</f>
        <v>L</v>
      </c>
    </row>
    <row r="11" spans="1:14" x14ac:dyDescent="0.25">
      <c r="A11">
        <v>8</v>
      </c>
      <c r="B11" s="7" t="str">
        <f t="shared" si="0"/>
        <v>f</v>
      </c>
      <c r="C11" s="10">
        <f>IF(ISNA(+VLOOKUP($B11,Cuadro2!A:D,2,FALSE)),"",+VLOOKUP($B11,Cuadro2!A:D,2,FALSE))</f>
        <v>3</v>
      </c>
      <c r="D11" s="10">
        <f>IF(ISNA(+VLOOKUP($B11,Cuadro2!A:D,3,FALSE)),"",+VLOOKUP($B11,Cuadro2!A:D,3,FALSE))</f>
        <v>2</v>
      </c>
      <c r="E11" s="10">
        <f>IF(ISNA(+VLOOKUP($B11,Cuadro2!A:D,4,FALSE)),"",+VLOOKUP($B11,Cuadro2!A:D,4,FALSE))</f>
        <v>2</v>
      </c>
      <c r="F11" s="10"/>
      <c r="G11" s="10">
        <f>+IF(G$2=0,C11,IF(G$2=1,C10,IF(G$2=2,C12,"X")))</f>
        <v>3</v>
      </c>
      <c r="H11" s="10">
        <f>+IF(H$2=0,D11,IF(H$2=1,D10,IF(H$2=2,D12,"X")))</f>
        <v>2</v>
      </c>
      <c r="I11" s="10">
        <f>+IF(I$2=0,E11,IF(I$2=1,E10,IF(I$2=2,E12,"X")))</f>
        <v>2</v>
      </c>
      <c r="J11" s="9" t="str">
        <f>IF(ISNA(+VLOOKUP(_xlfn.CONCAT(G11:I11),Cuadro0!E:F,2,FALSE)),"",+VLOOKUP(_xlfn.CONCAT(G11:I11),Cuadro0!E:F,2,FALSE))</f>
        <v>O</v>
      </c>
    </row>
    <row r="12" spans="1:14" x14ac:dyDescent="0.25">
      <c r="A12">
        <v>9</v>
      </c>
      <c r="B12" s="8" t="str">
        <f t="shared" si="0"/>
        <v>-</v>
      </c>
      <c r="C12" s="3">
        <f>IF(ISNA(+VLOOKUP($B12,Cuadro3!A:D,2,FALSE)),"",+VLOOKUP($B12,Cuadro3!A:D,2,FALSE))</f>
        <v>3</v>
      </c>
      <c r="D12" s="3">
        <f>IF(ISNA(+VLOOKUP($B12,Cuadro3!A:D,3,FALSE)),"",+VLOOKUP($B12,Cuadro3!A:D,3,FALSE))</f>
        <v>1</v>
      </c>
      <c r="E12" s="3">
        <f>IF(ISNA(+VLOOKUP($B12,Cuadro3!A:D,4,FALSE)),"",+VLOOKUP($B12,Cuadro3!A:D,4,FALSE))</f>
        <v>2</v>
      </c>
      <c r="F12" s="5"/>
      <c r="G12" s="3">
        <f>+IF(G$2=0,C12,IF(G$2=1,C11,IF(G$2=2,C10,"X")))</f>
        <v>3</v>
      </c>
      <c r="H12" s="3">
        <f>+IF(H$2=0,D12,IF(H$2=1,D11,IF(H$2=2,D10,"X")))</f>
        <v>2</v>
      </c>
      <c r="I12" s="3">
        <f>+IF(I$2=0,E12,IF(I$2=1,E11,IF(I$2=2,E10,"X")))</f>
        <v>1</v>
      </c>
      <c r="J12" s="9" t="str">
        <f>IF(ISNA(+VLOOKUP(_xlfn.CONCAT(G12:I12),Cuadro0!E:F,2,FALSE)),"",+VLOOKUP(_xlfn.CONCAT(G12:I12),Cuadro0!E:F,2,FALSE))</f>
        <v>F</v>
      </c>
    </row>
    <row r="13" spans="1:14" x14ac:dyDescent="0.25">
      <c r="A13">
        <v>10</v>
      </c>
      <c r="B13" s="6" t="str">
        <f t="shared" si="0"/>
        <v>v</v>
      </c>
      <c r="C13" s="10">
        <f>IF(ISNA(+VLOOKUP($B13,Cuadro1!A:D,2,FALSE)),"",+VLOOKUP($B13,Cuadro1!A:D,2,FALSE))</f>
        <v>3</v>
      </c>
      <c r="D13" s="10">
        <f>IF(ISNA(+VLOOKUP($B13,Cuadro1!A:D,3,FALSE)),"",+VLOOKUP($B13,Cuadro1!A:D,3,FALSE))</f>
        <v>2</v>
      </c>
      <c r="E13" s="10">
        <f>IF(ISNA(+VLOOKUP($B13,Cuadro1!A:D,4,FALSE)),"",+VLOOKUP($B13,Cuadro1!A:D,4,FALSE))</f>
        <v>3</v>
      </c>
      <c r="G13" s="10">
        <f>+IF(G$2=0,C13,IF(G$2=1,C15,IF(G$2=2,C14,"X")))</f>
        <v>3</v>
      </c>
      <c r="H13" s="10">
        <f>+IF(H$2=0,D13,IF(H$2=1,D15,IF(H$2=2,D14,"X")))</f>
        <v>1</v>
      </c>
      <c r="I13" s="10">
        <f>+IF(I$2=0,E13,IF(I$2=1,E15,IF(I$2=2,E14,"X")))</f>
        <v>1</v>
      </c>
      <c r="J13" s="9" t="str">
        <f>IF(ISNA(+VLOOKUP(_xlfn.CONCAT(G13:I13),Cuadro0!E:F,2,FALSE)),"",+VLOOKUP(_xlfn.CONCAT(G13:I13),Cuadro0!E:F,2,FALSE))</f>
        <v>C</v>
      </c>
    </row>
    <row r="14" spans="1:14" x14ac:dyDescent="0.25">
      <c r="A14">
        <v>11</v>
      </c>
      <c r="B14" s="7" t="str">
        <f t="shared" si="0"/>
        <v>j</v>
      </c>
      <c r="C14" s="10">
        <f>IF(ISNA(+VLOOKUP($B14,Cuadro2!A:D,2,FALSE)),"",+VLOOKUP($B14,Cuadro2!A:D,2,FALSE))</f>
        <v>3</v>
      </c>
      <c r="D14" s="10">
        <f>IF(ISNA(+VLOOKUP($B14,Cuadro2!A:D,3,FALSE)),"",+VLOOKUP($B14,Cuadro2!A:D,3,FALSE))</f>
        <v>1</v>
      </c>
      <c r="E14" s="10">
        <f>IF(ISNA(+VLOOKUP($B14,Cuadro2!A:D,4,FALSE)),"",+VLOOKUP($B14,Cuadro2!A:D,4,FALSE))</f>
        <v>1</v>
      </c>
      <c r="F14" s="10"/>
      <c r="G14" s="10">
        <f>+IF(G$2=0,C14,IF(G$2=1,C13,IF(G$2=2,C15,"X")))</f>
        <v>3</v>
      </c>
      <c r="H14" s="10">
        <f>+IF(H$2=0,D14,IF(H$2=1,D13,IF(H$2=2,D15,"X")))</f>
        <v>2</v>
      </c>
      <c r="I14" s="10">
        <f>+IF(I$2=0,E14,IF(I$2=1,E13,IF(I$2=2,E15,"X")))</f>
        <v>2</v>
      </c>
      <c r="J14" s="9" t="str">
        <f>IF(ISNA(+VLOOKUP(_xlfn.CONCAT(G14:I14),Cuadro0!E:F,2,FALSE)),"",+VLOOKUP(_xlfn.CONCAT(G14:I14),Cuadro0!E:F,2,FALSE))</f>
        <v>O</v>
      </c>
    </row>
    <row r="15" spans="1:14" x14ac:dyDescent="0.25">
      <c r="A15">
        <v>12</v>
      </c>
      <c r="B15" s="8" t="str">
        <f t="shared" si="0"/>
        <v>-</v>
      </c>
      <c r="C15" s="3">
        <f>IF(ISNA(+VLOOKUP($B15,Cuadro3!A:D,2,FALSE)),"",+VLOOKUP($B15,Cuadro3!A:D,2,FALSE))</f>
        <v>3</v>
      </c>
      <c r="D15" s="3">
        <f>IF(ISNA(+VLOOKUP($B15,Cuadro3!A:D,3,FALSE)),"",+VLOOKUP($B15,Cuadro3!A:D,3,FALSE))</f>
        <v>1</v>
      </c>
      <c r="E15" s="3">
        <f>IF(ISNA(+VLOOKUP($B15,Cuadro3!A:D,4,FALSE)),"",+VLOOKUP($B15,Cuadro3!A:D,4,FALSE))</f>
        <v>2</v>
      </c>
      <c r="F15" s="5"/>
      <c r="G15" s="3">
        <f>+IF(G$2=0,C15,IF(G$2=1,C14,IF(G$2=2,C13,"X")))</f>
        <v>3</v>
      </c>
      <c r="H15" s="3">
        <f>+IF(H$2=0,D15,IF(H$2=1,D14,IF(H$2=2,D13,"X")))</f>
        <v>1</v>
      </c>
      <c r="I15" s="3">
        <f>+IF(I$2=0,E15,IF(I$2=1,E14,IF(I$2=2,E13,"X")))</f>
        <v>3</v>
      </c>
      <c r="J15" s="9" t="str">
        <f>IF(ISNA(+VLOOKUP(_xlfn.CONCAT(G15:I15),Cuadro0!E:F,2,FALSE)),"",+VLOOKUP(_xlfn.CONCAT(G15:I15),Cuadro0!E:F,2,FALSE))</f>
        <v>U</v>
      </c>
    </row>
    <row r="16" spans="1:14" x14ac:dyDescent="0.25">
      <c r="A16">
        <v>13</v>
      </c>
      <c r="B16" s="6" t="str">
        <f t="shared" si="0"/>
        <v>e</v>
      </c>
      <c r="C16" s="10">
        <f>IF(ISNA(+VLOOKUP($B16,Cuadro1!A:D,2,FALSE)),"",+VLOOKUP($B16,Cuadro1!A:D,2,FALSE))</f>
        <v>3</v>
      </c>
      <c r="D16" s="10">
        <f>IF(ISNA(+VLOOKUP($B16,Cuadro1!A:D,3,FALSE)),"",+VLOOKUP($B16,Cuadro1!A:D,3,FALSE))</f>
        <v>1</v>
      </c>
      <c r="E16" s="10">
        <f>IF(ISNA(+VLOOKUP($B16,Cuadro1!A:D,4,FALSE)),"",+VLOOKUP($B16,Cuadro1!A:D,4,FALSE))</f>
        <v>1</v>
      </c>
      <c r="G16" s="10">
        <f>+IF(G$2=0,C16,IF(G$2=1,C18,IF(G$2=2,C17,"X")))</f>
        <v>3</v>
      </c>
      <c r="H16" s="10">
        <f>+IF(H$2=0,D16,IF(H$2=1,D18,IF(H$2=2,D17,"X")))</f>
        <v>3</v>
      </c>
      <c r="I16" s="10">
        <f>+IF(I$2=0,E16,IF(I$2=1,E18,IF(I$2=2,E17,"X")))</f>
        <v>2</v>
      </c>
      <c r="J16" s="9" t="str">
        <f>IF(ISNA(+VLOOKUP(_xlfn.CONCAT(G16:I16),Cuadro0!E:F,2,FALSE)),"",+VLOOKUP(_xlfn.CONCAT(G16:I16),Cuadro0!E:F,2,FALSE))</f>
        <v>R</v>
      </c>
    </row>
    <row r="17" spans="1:10" x14ac:dyDescent="0.25">
      <c r="A17">
        <v>14</v>
      </c>
      <c r="B17" s="7" t="str">
        <f t="shared" si="0"/>
        <v>n</v>
      </c>
      <c r="C17" s="10">
        <f>IF(ISNA(+VLOOKUP($B17,Cuadro2!A:D,2,FALSE)),"",+VLOOKUP($B17,Cuadro2!A:D,2,FALSE))</f>
        <v>1</v>
      </c>
      <c r="D17" s="10">
        <f>IF(ISNA(+VLOOKUP($B17,Cuadro2!A:D,3,FALSE)),"",+VLOOKUP($B17,Cuadro2!A:D,3,FALSE))</f>
        <v>2</v>
      </c>
      <c r="E17" s="10">
        <f>IF(ISNA(+VLOOKUP($B17,Cuadro2!A:D,4,FALSE)),"",+VLOOKUP($B17,Cuadro2!A:D,4,FALSE))</f>
        <v>2</v>
      </c>
      <c r="F17" s="10"/>
      <c r="G17" s="10">
        <f>+IF(G$2=0,C17,IF(G$2=1,C16,IF(G$2=2,C18,"X")))</f>
        <v>1</v>
      </c>
      <c r="H17" s="10">
        <f>+IF(H$2=0,D17,IF(H$2=1,D16,IF(H$2=2,D18,"X")))</f>
        <v>1</v>
      </c>
      <c r="I17" s="10">
        <f>+IF(I$2=0,E17,IF(I$2=1,E16,IF(I$2=2,E18,"X")))</f>
        <v>3</v>
      </c>
      <c r="J17" s="9" t="str">
        <f>IF(ISNA(+VLOOKUP(_xlfn.CONCAT(G17:I17),Cuadro0!E:F,2,FALSE)),"",+VLOOKUP(_xlfn.CONCAT(G17:I17),Cuadro0!E:F,2,FALSE))</f>
        <v>S</v>
      </c>
    </row>
    <row r="18" spans="1:10" x14ac:dyDescent="0.25">
      <c r="A18">
        <v>15</v>
      </c>
      <c r="B18" s="8" t="str">
        <f t="shared" si="0"/>
        <v>r</v>
      </c>
      <c r="C18" s="3">
        <f>IF(ISNA(+VLOOKUP($B18,Cuadro3!A:D,2,FALSE)),"",+VLOOKUP($B18,Cuadro3!A:D,2,FALSE))</f>
        <v>2</v>
      </c>
      <c r="D18" s="3">
        <f>IF(ISNA(+VLOOKUP($B18,Cuadro3!A:D,3,FALSE)),"",+VLOOKUP($B18,Cuadro3!A:D,3,FALSE))</f>
        <v>3</v>
      </c>
      <c r="E18" s="3">
        <f>IF(ISNA(+VLOOKUP($B18,Cuadro3!A:D,4,FALSE)),"",+VLOOKUP($B18,Cuadro3!A:D,4,FALSE))</f>
        <v>3</v>
      </c>
      <c r="F18" s="5"/>
      <c r="G18" s="3">
        <f>+IF(G$2=0,C18,IF(G$2=1,C17,IF(G$2=2,C16,"X")))</f>
        <v>2</v>
      </c>
      <c r="H18" s="3">
        <f>+IF(H$2=0,D18,IF(H$2=1,D17,IF(H$2=2,D16,"X")))</f>
        <v>2</v>
      </c>
      <c r="I18" s="3">
        <f>+IF(I$2=0,E18,IF(I$2=1,E17,IF(I$2=2,E16,"X")))</f>
        <v>1</v>
      </c>
      <c r="J18" s="9" t="str">
        <f>IF(ISNA(+VLOOKUP(_xlfn.CONCAT(G18:I18),Cuadro0!E:F,2,FALSE)),"",+VLOOKUP(_xlfn.CONCAT(G18:I18),Cuadro0!E:F,2,FALSE))</f>
        <v>E</v>
      </c>
    </row>
    <row r="19" spans="1:10" x14ac:dyDescent="0.25">
      <c r="A19">
        <v>16</v>
      </c>
      <c r="B19" s="6" t="str">
        <f t="shared" si="0"/>
        <v>f</v>
      </c>
      <c r="C19" s="10">
        <f>IF(ISNA(+VLOOKUP($B19,Cuadro1!A:D,2,FALSE)),"",+VLOOKUP($B19,Cuadro1!A:D,2,FALSE))</f>
        <v>2</v>
      </c>
      <c r="D19" s="10">
        <f>IF(ISNA(+VLOOKUP($B19,Cuadro1!A:D,3,FALSE)),"",+VLOOKUP($B19,Cuadro1!A:D,3,FALSE))</f>
        <v>2</v>
      </c>
      <c r="E19" s="10">
        <f>IF(ISNA(+VLOOKUP($B19,Cuadro1!A:D,4,FALSE)),"",+VLOOKUP($B19,Cuadro1!A:D,4,FALSE))</f>
        <v>1</v>
      </c>
      <c r="G19" s="10">
        <f>+IF(G$2=0,C19,IF(G$2=1,C21,IF(G$2=2,C20,"X")))</f>
        <v>2</v>
      </c>
      <c r="H19" s="10">
        <f>+IF(H$2=0,D19,IF(H$2=1,D21,IF(H$2=2,D20,"X")))</f>
        <v>2</v>
      </c>
      <c r="I19" s="10">
        <f>+IF(I$2=0,E19,IF(I$2=1,E21,IF(I$2=2,E20,"X")))</f>
        <v>2</v>
      </c>
      <c r="J19" s="9" t="str">
        <f>IF(ISNA(+VLOOKUP(_xlfn.CONCAT(G19:I19),Cuadro0!E:F,2,FALSE)),"",+VLOOKUP(_xlfn.CONCAT(G19:I19),Cuadro0!E:F,2,FALSE))</f>
        <v>N</v>
      </c>
    </row>
    <row r="20" spans="1:10" x14ac:dyDescent="0.25">
      <c r="A20">
        <v>17</v>
      </c>
      <c r="B20" s="7" t="str">
        <f t="shared" si="0"/>
        <v>h</v>
      </c>
      <c r="C20" s="10">
        <f>IF(ISNA(+VLOOKUP($B20,Cuadro2!A:D,2,FALSE)),"",+VLOOKUP($B20,Cuadro2!A:D,2,FALSE))</f>
        <v>2</v>
      </c>
      <c r="D20" s="10">
        <f>IF(ISNA(+VLOOKUP($B20,Cuadro2!A:D,3,FALSE)),"",+VLOOKUP($B20,Cuadro2!A:D,3,FALSE))</f>
        <v>2</v>
      </c>
      <c r="E20" s="10">
        <f>IF(ISNA(+VLOOKUP($B20,Cuadro2!A:D,4,FALSE)),"",+VLOOKUP($B20,Cuadro2!A:D,4,FALSE))</f>
        <v>2</v>
      </c>
      <c r="F20" s="10"/>
      <c r="G20" s="10">
        <f>+IF(G$2=0,C20,IF(G$2=1,C19,IF(G$2=2,C21,"X")))</f>
        <v>2</v>
      </c>
      <c r="H20" s="10">
        <f>+IF(H$2=0,D20,IF(H$2=1,D19,IF(H$2=2,D21,"X")))</f>
        <v>2</v>
      </c>
      <c r="I20" s="10">
        <f>+IF(I$2=0,E20,IF(I$2=1,E19,IF(I$2=2,E21,"X")))</f>
        <v>1</v>
      </c>
      <c r="J20" s="9" t="str">
        <f>IF(ISNA(+VLOOKUP(_xlfn.CONCAT(G20:I20),Cuadro0!E:F,2,FALSE)),"",+VLOOKUP(_xlfn.CONCAT(G20:I20),Cuadro0!E:F,2,FALSE))</f>
        <v>E</v>
      </c>
    </row>
    <row r="21" spans="1:10" x14ac:dyDescent="0.25">
      <c r="A21">
        <v>18</v>
      </c>
      <c r="B21" s="8" t="str">
        <f t="shared" si="0"/>
        <v>j</v>
      </c>
      <c r="C21" s="3">
        <f>IF(ISNA(+VLOOKUP($B21,Cuadro3!A:D,2,FALSE)),"",+VLOOKUP($B21,Cuadro3!A:D,2,FALSE))</f>
        <v>2</v>
      </c>
      <c r="D21" s="3">
        <f>IF(ISNA(+VLOOKUP($B21,Cuadro3!A:D,3,FALSE)),"",+VLOOKUP($B21,Cuadro3!A:D,3,FALSE))</f>
        <v>2</v>
      </c>
      <c r="E21" s="3">
        <f>IF(ISNA(+VLOOKUP($B21,Cuadro3!A:D,4,FALSE)),"",+VLOOKUP($B21,Cuadro3!A:D,4,FALSE))</f>
        <v>1</v>
      </c>
      <c r="F21" s="5"/>
      <c r="G21" s="3">
        <f>+IF(G$2=0,C21,IF(G$2=1,C20,IF(G$2=2,C19,"X")))</f>
        <v>2</v>
      </c>
      <c r="H21" s="3">
        <f>+IF(H$2=0,D21,IF(H$2=1,D20,IF(H$2=2,D19,"X")))</f>
        <v>2</v>
      </c>
      <c r="I21" s="3">
        <f>+IF(I$2=0,E21,IF(I$2=1,E20,IF(I$2=2,E19,"X")))</f>
        <v>1</v>
      </c>
      <c r="J21" s="9" t="str">
        <f>IF(ISNA(+VLOOKUP(_xlfn.CONCAT(G21:I21),Cuadro0!E:F,2,FALSE)),"",+VLOOKUP(_xlfn.CONCAT(G21:I21),Cuadro0!E:F,2,FALSE))</f>
        <v>E</v>
      </c>
    </row>
    <row r="22" spans="1:10" x14ac:dyDescent="0.25">
      <c r="A22">
        <v>19</v>
      </c>
      <c r="B22" s="6" t="str">
        <f t="shared" si="0"/>
        <v>l</v>
      </c>
      <c r="C22" s="10">
        <f>IF(ISNA(+VLOOKUP($B22,Cuadro1!A:D,2,FALSE)),"",+VLOOKUP($B22,Cuadro1!A:D,2,FALSE))</f>
        <v>1</v>
      </c>
      <c r="D22" s="10">
        <f>IF(ISNA(+VLOOKUP($B22,Cuadro1!A:D,3,FALSE)),"",+VLOOKUP($B22,Cuadro1!A:D,3,FALSE))</f>
        <v>1</v>
      </c>
      <c r="E22" s="10">
        <f>IF(ISNA(+VLOOKUP($B22,Cuadro1!A:D,4,FALSE)),"",+VLOOKUP($B22,Cuadro1!A:D,4,FALSE))</f>
        <v>2</v>
      </c>
      <c r="G22" s="10">
        <f>+IF(G$2=0,C22,IF(G$2=1,C24,IF(G$2=2,C23,"X")))</f>
        <v>1</v>
      </c>
      <c r="H22" s="10">
        <f>+IF(H$2=0,D22,IF(H$2=1,D24,IF(H$2=2,D23,"X")))</f>
        <v>2</v>
      </c>
      <c r="I22" s="10">
        <f>+IF(I$2=0,E22,IF(I$2=1,E24,IF(I$2=2,E23,"X")))</f>
        <v>1</v>
      </c>
      <c r="J22" s="9" t="str">
        <f>IF(ISNA(+VLOOKUP(_xlfn.CONCAT(G22:I22),Cuadro0!E:F,2,FALSE)),"",+VLOOKUP(_xlfn.CONCAT(G22:I22),Cuadro0!E:F,2,FALSE))</f>
        <v>D</v>
      </c>
    </row>
    <row r="23" spans="1:10" x14ac:dyDescent="0.25">
      <c r="A23">
        <v>20</v>
      </c>
      <c r="B23" s="7" t="str">
        <f t="shared" si="0"/>
        <v>i</v>
      </c>
      <c r="C23" s="10">
        <f>IF(ISNA(+VLOOKUP($B23,Cuadro2!A:D,2,FALSE)),"",+VLOOKUP($B23,Cuadro2!A:D,2,FALSE))</f>
        <v>1</v>
      </c>
      <c r="D23" s="10">
        <f>IF(ISNA(+VLOOKUP($B23,Cuadro2!A:D,3,FALSE)),"",+VLOOKUP($B23,Cuadro2!A:D,3,FALSE))</f>
        <v>2</v>
      </c>
      <c r="E23" s="10">
        <f>IF(ISNA(+VLOOKUP($B23,Cuadro2!A:D,4,FALSE)),"",+VLOOKUP($B23,Cuadro2!A:D,4,FALSE))</f>
        <v>1</v>
      </c>
      <c r="F23" s="10"/>
      <c r="G23" s="10">
        <f>+IF(G$2=0,C23,IF(G$2=1,C22,IF(G$2=2,C24,"X")))</f>
        <v>1</v>
      </c>
      <c r="H23" s="10">
        <f>+IF(H$2=0,D23,IF(H$2=1,D22,IF(H$2=2,D24,"X")))</f>
        <v>1</v>
      </c>
      <c r="I23" s="10">
        <f>+IF(I$2=0,E23,IF(I$2=1,E22,IF(I$2=2,E24,"X")))</f>
        <v>3</v>
      </c>
      <c r="J23" s="9" t="str">
        <f>IF(ISNA(+VLOOKUP(_xlfn.CONCAT(G23:I23),Cuadro0!E:F,2,FALSE)),"",+VLOOKUP(_xlfn.CONCAT(G23:I23),Cuadro0!E:F,2,FALSE))</f>
        <v>S</v>
      </c>
    </row>
    <row r="24" spans="1:10" x14ac:dyDescent="0.25">
      <c r="A24">
        <v>21</v>
      </c>
      <c r="B24" s="8" t="str">
        <f t="shared" si="0"/>
        <v>y</v>
      </c>
      <c r="C24" s="3">
        <f>IF(ISNA(+VLOOKUP($B24,Cuadro3!A:D,2,FALSE)),"",+VLOOKUP($B24,Cuadro3!A:D,2,FALSE))</f>
        <v>3</v>
      </c>
      <c r="D24" s="3">
        <f>IF(ISNA(+VLOOKUP($B24,Cuadro3!A:D,3,FALSE)),"",+VLOOKUP($B24,Cuadro3!A:D,3,FALSE))</f>
        <v>2</v>
      </c>
      <c r="E24" s="3">
        <f>IF(ISNA(+VLOOKUP($B24,Cuadro3!A:D,4,FALSE)),"",+VLOOKUP($B24,Cuadro3!A:D,4,FALSE))</f>
        <v>3</v>
      </c>
      <c r="F24" s="5"/>
      <c r="G24" s="3">
        <f>+IF(G$2=0,C24,IF(G$2=1,C23,IF(G$2=2,C22,"X")))</f>
        <v>3</v>
      </c>
      <c r="H24" s="3">
        <f>+IF(H$2=0,D24,IF(H$2=1,D23,IF(H$2=2,D22,"X")))</f>
        <v>2</v>
      </c>
      <c r="I24" s="3">
        <f>+IF(I$2=0,E24,IF(I$2=1,E23,IF(I$2=2,E22,"X")))</f>
        <v>2</v>
      </c>
      <c r="J24" s="9" t="str">
        <f>IF(ISNA(+VLOOKUP(_xlfn.CONCAT(G24:I24),Cuadro0!E:F,2,FALSE)),"",+VLOOKUP(_xlfn.CONCAT(G24:I24),Cuadro0!E:F,2,FALSE))</f>
        <v>O</v>
      </c>
    </row>
    <row r="25" spans="1:10" x14ac:dyDescent="0.25">
      <c r="A25">
        <v>22</v>
      </c>
      <c r="B25" s="6" t="str">
        <f t="shared" si="0"/>
        <v>s</v>
      </c>
      <c r="C25" s="10">
        <f>IF(ISNA(+VLOOKUP($B25,Cuadro1!A:D,2,FALSE)),"",+VLOOKUP($B25,Cuadro1!A:D,2,FALSE))</f>
        <v>1</v>
      </c>
      <c r="D25" s="10">
        <f>IF(ISNA(+VLOOKUP($B25,Cuadro1!A:D,3,FALSE)),"",+VLOOKUP($B25,Cuadro1!A:D,3,FALSE))</f>
        <v>2</v>
      </c>
      <c r="E25" s="10">
        <f>IF(ISNA(+VLOOKUP($B25,Cuadro1!A:D,4,FALSE)),"",+VLOOKUP($B25,Cuadro1!A:D,4,FALSE))</f>
        <v>3</v>
      </c>
      <c r="G25" s="10">
        <f>+IF(G$2=0,C25,IF(G$2=1,C27,IF(G$2=2,C26,"X")))</f>
        <v>1</v>
      </c>
      <c r="H25" s="10">
        <f>+IF(H$2=0,D25,IF(H$2=1,D27,IF(H$2=2,D26,"X")))</f>
        <v>2</v>
      </c>
      <c r="I25" s="10">
        <f>+IF(I$2=0,E25,IF(I$2=1,E27,IF(I$2=2,E26,"X")))</f>
        <v>2</v>
      </c>
      <c r="J25" s="9" t="str">
        <f>IF(ISNA(+VLOOKUP(_xlfn.CONCAT(G25:I25),Cuadro0!E:F,2,FALSE)),"",+VLOOKUP(_xlfn.CONCAT(G25:I25),Cuadro0!E:F,2,FALSE))</f>
        <v>M</v>
      </c>
    </row>
    <row r="26" spans="1:10" x14ac:dyDescent="0.25">
      <c r="A26">
        <v>23</v>
      </c>
      <c r="B26" s="7" t="str">
        <f t="shared" si="0"/>
        <v>h</v>
      </c>
      <c r="C26" s="10">
        <f>IF(ISNA(+VLOOKUP($B26,Cuadro2!A:D,2,FALSE)),"",+VLOOKUP($B26,Cuadro2!A:D,2,FALSE))</f>
        <v>2</v>
      </c>
      <c r="D26" s="10">
        <f>IF(ISNA(+VLOOKUP($B26,Cuadro2!A:D,3,FALSE)),"",+VLOOKUP($B26,Cuadro2!A:D,3,FALSE))</f>
        <v>2</v>
      </c>
      <c r="E26" s="10">
        <f>IF(ISNA(+VLOOKUP($B26,Cuadro2!A:D,4,FALSE)),"",+VLOOKUP($B26,Cuadro2!A:D,4,FALSE))</f>
        <v>2</v>
      </c>
      <c r="F26" s="10"/>
      <c r="G26" s="10">
        <f>+IF(G$2=0,C26,IF(G$2=1,C25,IF(G$2=2,C27,"X")))</f>
        <v>2</v>
      </c>
      <c r="H26" s="10">
        <f>+IF(H$2=0,D26,IF(H$2=1,D25,IF(H$2=2,D27,"X")))</f>
        <v>2</v>
      </c>
      <c r="I26" s="10">
        <f>+IF(I$2=0,E26,IF(I$2=1,E25,IF(I$2=2,E27,"X")))</f>
        <v>1</v>
      </c>
      <c r="J26" s="9" t="str">
        <f>IF(ISNA(+VLOOKUP(_xlfn.CONCAT(G26:I26),Cuadro0!E:F,2,FALSE)),"",+VLOOKUP(_xlfn.CONCAT(G26:I26),Cuadro0!E:F,2,FALSE))</f>
        <v>E</v>
      </c>
    </row>
    <row r="27" spans="1:10" x14ac:dyDescent="0.25">
      <c r="A27">
        <v>24</v>
      </c>
      <c r="B27" s="8" t="str">
        <f t="shared" si="0"/>
        <v>j</v>
      </c>
      <c r="C27" s="3">
        <f>IF(ISNA(+VLOOKUP($B27,Cuadro3!A:D,2,FALSE)),"",+VLOOKUP($B27,Cuadro3!A:D,2,FALSE))</f>
        <v>2</v>
      </c>
      <c r="D27" s="3">
        <f>IF(ISNA(+VLOOKUP($B27,Cuadro3!A:D,3,FALSE)),"",+VLOOKUP($B27,Cuadro3!A:D,3,FALSE))</f>
        <v>2</v>
      </c>
      <c r="E27" s="3">
        <f>IF(ISNA(+VLOOKUP($B27,Cuadro3!A:D,4,FALSE)),"",+VLOOKUP($B27,Cuadro3!A:D,4,FALSE))</f>
        <v>1</v>
      </c>
      <c r="F27" s="5"/>
      <c r="G27" s="3">
        <f>+IF(G$2=0,C27,IF(G$2=1,C26,IF(G$2=2,C25,"X")))</f>
        <v>2</v>
      </c>
      <c r="H27" s="3">
        <f>+IF(H$2=0,D27,IF(H$2=1,D26,IF(H$2=2,D25,"X")))</f>
        <v>2</v>
      </c>
      <c r="I27" s="3">
        <f>+IF(I$2=0,E27,IF(I$2=1,E26,IF(I$2=2,E25,"X")))</f>
        <v>3</v>
      </c>
      <c r="J27" s="9" t="str">
        <f>IF(ISNA(+VLOOKUP(_xlfn.CONCAT(G27:I27),Cuadro0!E:F,2,FALSE)),"",+VLOOKUP(_xlfn.CONCAT(G27:I27),Cuadro0!E:F,2,FALSE))</f>
        <v>W</v>
      </c>
    </row>
    <row r="28" spans="1:10" x14ac:dyDescent="0.25">
      <c r="A28">
        <v>25</v>
      </c>
      <c r="B28" s="6" t="str">
        <f t="shared" si="0"/>
        <v>k</v>
      </c>
      <c r="C28" s="10">
        <f>IF(ISNA(+VLOOKUP($B28,Cuadro1!A:D,2,FALSE)),"",+VLOOKUP($B28,Cuadro1!A:D,2,FALSE))</f>
        <v>2</v>
      </c>
      <c r="D28" s="10">
        <f>IF(ISNA(+VLOOKUP($B28,Cuadro1!A:D,3,FALSE)),"",+VLOOKUP($B28,Cuadro1!A:D,3,FALSE))</f>
        <v>2</v>
      </c>
      <c r="E28" s="10">
        <f>IF(ISNA(+VLOOKUP($B28,Cuadro1!A:D,4,FALSE)),"",+VLOOKUP($B28,Cuadro1!A:D,4,FALSE))</f>
        <v>2</v>
      </c>
      <c r="G28" s="10">
        <f>+IF(G$2=0,C28,IF(G$2=1,C30,IF(G$2=2,C29,"X")))</f>
        <v>2</v>
      </c>
      <c r="H28" s="10">
        <f>+IF(H$2=0,D28,IF(H$2=1,D30,IF(H$2=2,D29,"X")))</f>
        <v>3</v>
      </c>
      <c r="I28" s="10">
        <f>+IF(I$2=0,E28,IF(I$2=1,E30,IF(I$2=2,E29,"X")))</f>
        <v>1</v>
      </c>
      <c r="J28" s="9" t="str">
        <f>IF(ISNA(+VLOOKUP(_xlfn.CONCAT(G28:I28),Cuadro0!E:F,2,FALSE)),"",+VLOOKUP(_xlfn.CONCAT(G28:I28),Cuadro0!E:F,2,FALSE))</f>
        <v>H</v>
      </c>
    </row>
    <row r="29" spans="1:10" x14ac:dyDescent="0.25">
      <c r="A29">
        <v>26</v>
      </c>
      <c r="B29" s="7" t="str">
        <f t="shared" si="0"/>
        <v>l</v>
      </c>
      <c r="C29" s="10">
        <f>IF(ISNA(+VLOOKUP($B29,Cuadro2!A:D,2,FALSE)),"",+VLOOKUP($B29,Cuadro2!A:D,2,FALSE))</f>
        <v>2</v>
      </c>
      <c r="D29" s="10">
        <f>IF(ISNA(+VLOOKUP($B29,Cuadro2!A:D,3,FALSE)),"",+VLOOKUP($B29,Cuadro2!A:D,3,FALSE))</f>
        <v>3</v>
      </c>
      <c r="E29" s="10">
        <f>IF(ISNA(+VLOOKUP($B29,Cuadro2!A:D,4,FALSE)),"",+VLOOKUP($B29,Cuadro2!A:D,4,FALSE))</f>
        <v>1</v>
      </c>
      <c r="F29" s="10"/>
      <c r="G29" s="10">
        <f>+IF(G$2=0,C29,IF(G$2=1,C28,IF(G$2=2,C30,"X")))</f>
        <v>2</v>
      </c>
      <c r="H29" s="10">
        <f>+IF(H$2=0,D29,IF(H$2=1,D28,IF(H$2=2,D30,"X")))</f>
        <v>2</v>
      </c>
      <c r="I29" s="10">
        <f>+IF(I$2=0,E29,IF(I$2=1,E28,IF(I$2=2,E30,"X")))</f>
        <v>1</v>
      </c>
      <c r="J29" s="9" t="str">
        <f>IF(ISNA(+VLOOKUP(_xlfn.CONCAT(G29:I29),Cuadro0!E:F,2,FALSE)),"",+VLOOKUP(_xlfn.CONCAT(G29:I29),Cuadro0!E:F,2,FALSE))</f>
        <v>E</v>
      </c>
    </row>
    <row r="30" spans="1:10" x14ac:dyDescent="0.25">
      <c r="A30">
        <v>27</v>
      </c>
      <c r="B30" s="8" t="str">
        <f t="shared" si="0"/>
        <v>c</v>
      </c>
      <c r="C30" s="3">
        <f>IF(ISNA(+VLOOKUP($B30,Cuadro3!A:D,2,FALSE)),"",+VLOOKUP($B30,Cuadro3!A:D,2,FALSE))</f>
        <v>3</v>
      </c>
      <c r="D30" s="3">
        <f>IF(ISNA(+VLOOKUP($B30,Cuadro3!A:D,3,FALSE)),"",+VLOOKUP($B30,Cuadro3!A:D,3,FALSE))</f>
        <v>3</v>
      </c>
      <c r="E30" s="3">
        <f>IF(ISNA(+VLOOKUP($B30,Cuadro3!A:D,4,FALSE)),"",+VLOOKUP($B30,Cuadro3!A:D,4,FALSE))</f>
        <v>1</v>
      </c>
      <c r="F30" s="5"/>
      <c r="G30" s="3">
        <f>+IF(G$2=0,C30,IF(G$2=1,C29,IF(G$2=2,C28,"X")))</f>
        <v>3</v>
      </c>
      <c r="H30" s="3">
        <f>+IF(H$2=0,D30,IF(H$2=1,D29,IF(H$2=2,D28,"X")))</f>
        <v>3</v>
      </c>
      <c r="I30" s="3">
        <f>+IF(I$2=0,E30,IF(I$2=1,E29,IF(I$2=2,E28,"X")))</f>
        <v>2</v>
      </c>
      <c r="J30" s="9" t="str">
        <f>IF(ISNA(+VLOOKUP(_xlfn.CONCAT(G30:I30),Cuadro0!E:F,2,FALSE)),"",+VLOOKUP(_xlfn.CONCAT(G30:I30),Cuadro0!E:F,2,FALSE))</f>
        <v>R</v>
      </c>
    </row>
    <row r="31" spans="1:10" x14ac:dyDescent="0.25">
      <c r="A31">
        <v>28</v>
      </c>
      <c r="B31" s="6" t="str">
        <f t="shared" si="0"/>
        <v>g</v>
      </c>
      <c r="C31" s="10">
        <f>IF(ISNA(+VLOOKUP($B31,Cuadro1!A:D,2,FALSE)),"",+VLOOKUP($B31,Cuadro1!A:D,2,FALSE))</f>
        <v>2</v>
      </c>
      <c r="D31" s="10">
        <f>IF(ISNA(+VLOOKUP($B31,Cuadro1!A:D,3,FALSE)),"",+VLOOKUP($B31,Cuadro1!A:D,3,FALSE))</f>
        <v>1</v>
      </c>
      <c r="E31" s="10">
        <f>IF(ISNA(+VLOOKUP($B31,Cuadro1!A:D,4,FALSE)),"",+VLOOKUP($B31,Cuadro1!A:D,4,FALSE))</f>
        <v>2</v>
      </c>
      <c r="G31" s="10">
        <f>+IF(G$2=0,C31,IF(G$2=1,C33,IF(G$2=2,C32,"X")))</f>
        <v>2</v>
      </c>
      <c r="H31" s="10">
        <f>+IF(H$2=0,D31,IF(H$2=1,D33,IF(H$2=2,D32,"X")))</f>
        <v>2</v>
      </c>
      <c r="I31" s="10">
        <f>+IF(I$2=0,E31,IF(I$2=1,E33,IF(I$2=2,E32,"X")))</f>
        <v>1</v>
      </c>
      <c r="J31" s="9" t="str">
        <f>IF(ISNA(+VLOOKUP(_xlfn.CONCAT(G31:I31),Cuadro0!E:F,2,FALSE)),"",+VLOOKUP(_xlfn.CONCAT(G31:I31),Cuadro0!E:F,2,FALSE))</f>
        <v>E</v>
      </c>
    </row>
    <row r="32" spans="1:10" x14ac:dyDescent="0.25">
      <c r="A32">
        <v>29</v>
      </c>
      <c r="B32" s="7" t="str">
        <f t="shared" si="0"/>
        <v>a</v>
      </c>
      <c r="C32" s="10">
        <f>IF(ISNA(+VLOOKUP($B32,Cuadro2!A:D,2,FALSE)),"",+VLOOKUP($B32,Cuadro2!A:D,2,FALSE))</f>
        <v>2</v>
      </c>
      <c r="D32" s="10">
        <f>IF(ISNA(+VLOOKUP($B32,Cuadro2!A:D,3,FALSE)),"",+VLOOKUP($B32,Cuadro2!A:D,3,FALSE))</f>
        <v>2</v>
      </c>
      <c r="E32" s="10">
        <f>IF(ISNA(+VLOOKUP($B32,Cuadro2!A:D,4,FALSE)),"",+VLOOKUP($B32,Cuadro2!A:D,4,FALSE))</f>
        <v>1</v>
      </c>
      <c r="F32" s="10"/>
      <c r="G32" s="10">
        <f>+IF(G$2=0,C32,IF(G$2=1,C31,IF(G$2=2,C33,"X")))</f>
        <v>2</v>
      </c>
      <c r="H32" s="10">
        <f>+IF(H$2=0,D32,IF(H$2=1,D31,IF(H$2=2,D33,"X")))</f>
        <v>1</v>
      </c>
      <c r="I32" s="10">
        <f>+IF(I$2=0,E32,IF(I$2=1,E31,IF(I$2=2,E33,"X")))</f>
        <v>3</v>
      </c>
      <c r="J32" s="9" t="str">
        <f>IF(ISNA(+VLOOKUP(_xlfn.CONCAT(G32:I32),Cuadro0!E:F,2,FALSE)),"",+VLOOKUP(_xlfn.CONCAT(G32:I32),Cuadro0!E:F,2,FALSE))</f>
        <v>T</v>
      </c>
    </row>
    <row r="33" spans="1:10" x14ac:dyDescent="0.25">
      <c r="A33">
        <v>30</v>
      </c>
      <c r="B33" s="8" t="str">
        <f t="shared" si="0"/>
        <v>y</v>
      </c>
      <c r="C33" s="3">
        <f>IF(ISNA(+VLOOKUP($B33,Cuadro3!A:D,2,FALSE)),"",+VLOOKUP($B33,Cuadro3!A:D,2,FALSE))</f>
        <v>3</v>
      </c>
      <c r="D33" s="3">
        <f>IF(ISNA(+VLOOKUP($B33,Cuadro3!A:D,3,FALSE)),"",+VLOOKUP($B33,Cuadro3!A:D,3,FALSE))</f>
        <v>2</v>
      </c>
      <c r="E33" s="3">
        <f>IF(ISNA(+VLOOKUP($B33,Cuadro3!A:D,4,FALSE)),"",+VLOOKUP($B33,Cuadro3!A:D,4,FALSE))</f>
        <v>3</v>
      </c>
      <c r="F33" s="5"/>
      <c r="G33" s="3">
        <f>+IF(G$2=0,C33,IF(G$2=1,C32,IF(G$2=2,C31,"X")))</f>
        <v>3</v>
      </c>
      <c r="H33" s="3">
        <f>+IF(H$2=0,D33,IF(H$2=1,D32,IF(H$2=2,D31,"X")))</f>
        <v>2</v>
      </c>
      <c r="I33" s="3">
        <f>+IF(I$2=0,E33,IF(I$2=1,E32,IF(I$2=2,E31,"X")))</f>
        <v>2</v>
      </c>
      <c r="J33" s="9" t="str">
        <f>IF(ISNA(+VLOOKUP(_xlfn.CONCAT(G33:I33),Cuadro0!E:F,2,FALSE)),"",+VLOOKUP(_xlfn.CONCAT(G33:I33),Cuadro0!E:F,2,FALSE))</f>
        <v>O</v>
      </c>
    </row>
    <row r="34" spans="1:10" x14ac:dyDescent="0.25">
      <c r="A34">
        <v>31</v>
      </c>
      <c r="B34" s="6" t="str">
        <f t="shared" si="0"/>
        <v>m</v>
      </c>
      <c r="C34" s="10">
        <f>IF(ISNA(+VLOOKUP($B34,Cuadro1!A:D,2,FALSE)),"",+VLOOKUP($B34,Cuadro1!A:D,2,FALSE))</f>
        <v>1</v>
      </c>
      <c r="D34" s="10">
        <f>IF(ISNA(+VLOOKUP($B34,Cuadro1!A:D,3,FALSE)),"",+VLOOKUP($B34,Cuadro1!A:D,3,FALSE))</f>
        <v>1</v>
      </c>
      <c r="E34" s="10">
        <f>IF(ISNA(+VLOOKUP($B34,Cuadro1!A:D,4,FALSE)),"",+VLOOKUP($B34,Cuadro1!A:D,4,FALSE))</f>
        <v>1</v>
      </c>
      <c r="G34" s="10">
        <f>+IF(G$2=0,C34,IF(G$2=1,C36,IF(G$2=2,C35,"X")))</f>
        <v>1</v>
      </c>
      <c r="H34" s="10">
        <f>+IF(H$2=0,D34,IF(H$2=1,D36,IF(H$2=2,D35,"X")))</f>
        <v>1</v>
      </c>
      <c r="I34" s="10">
        <f>+IF(I$2=0,E34,IF(I$2=1,E36,IF(I$2=2,E35,"X")))</f>
        <v>3</v>
      </c>
      <c r="J34" s="9" t="str">
        <f>IF(ISNA(+VLOOKUP(_xlfn.CONCAT(G34:I34),Cuadro0!E:F,2,FALSE)),"",+VLOOKUP(_xlfn.CONCAT(G34:I34),Cuadro0!E:F,2,FALSE))</f>
        <v>S</v>
      </c>
    </row>
    <row r="35" spans="1:10" x14ac:dyDescent="0.25">
      <c r="A35">
        <v>32</v>
      </c>
      <c r="B35" s="7" t="str">
        <f t="shared" si="0"/>
        <v>p</v>
      </c>
      <c r="C35" s="10">
        <f>IF(ISNA(+VLOOKUP($B35,Cuadro2!A:D,2,FALSE)),"",+VLOOKUP($B35,Cuadro2!A:D,2,FALSE))</f>
        <v>2</v>
      </c>
      <c r="D35" s="10">
        <f>IF(ISNA(+VLOOKUP($B35,Cuadro2!A:D,3,FALSE)),"",+VLOOKUP($B35,Cuadro2!A:D,3,FALSE))</f>
        <v>2</v>
      </c>
      <c r="E35" s="10">
        <f>IF(ISNA(+VLOOKUP($B35,Cuadro2!A:D,4,FALSE)),"",+VLOOKUP($B35,Cuadro2!A:D,4,FALSE))</f>
        <v>3</v>
      </c>
      <c r="F35" s="10"/>
      <c r="G35" s="10">
        <f>+IF(G$2=0,C35,IF(G$2=1,C34,IF(G$2=2,C36,"X")))</f>
        <v>2</v>
      </c>
      <c r="H35" s="10">
        <f>+IF(H$2=0,D35,IF(H$2=1,D34,IF(H$2=2,D36,"X")))</f>
        <v>1</v>
      </c>
      <c r="I35" s="10">
        <f>+IF(I$2=0,E35,IF(I$2=1,E34,IF(I$2=2,E36,"X")))</f>
        <v>3</v>
      </c>
      <c r="J35" s="9" t="str">
        <f>IF(ISNA(+VLOOKUP(_xlfn.CONCAT(G35:I35),Cuadro0!E:F,2,FALSE)),"",+VLOOKUP(_xlfn.CONCAT(G35:I35),Cuadro0!E:F,2,FALSE))</f>
        <v>T</v>
      </c>
    </row>
    <row r="36" spans="1:10" x14ac:dyDescent="0.25">
      <c r="A36">
        <v>33</v>
      </c>
      <c r="B36" s="8" t="str">
        <f t="shared" ref="B36:B67" si="1">+MID($N$1,A36,1)</f>
        <v>t</v>
      </c>
      <c r="C36" s="3">
        <f>IF(ISNA(+VLOOKUP($B36,Cuadro3!A:D,2,FALSE)),"",+VLOOKUP($B36,Cuadro3!A:D,2,FALSE))</f>
        <v>1</v>
      </c>
      <c r="D36" s="3">
        <f>IF(ISNA(+VLOOKUP($B36,Cuadro3!A:D,3,FALSE)),"",+VLOOKUP($B36,Cuadro3!A:D,3,FALSE))</f>
        <v>1</v>
      </c>
      <c r="E36" s="3">
        <f>IF(ISNA(+VLOOKUP($B36,Cuadro3!A:D,4,FALSE)),"",+VLOOKUP($B36,Cuadro3!A:D,4,FALSE))</f>
        <v>3</v>
      </c>
      <c r="F36" s="5"/>
      <c r="G36" s="3">
        <f>+IF(G$2=0,C36,IF(G$2=1,C35,IF(G$2=2,C34,"X")))</f>
        <v>1</v>
      </c>
      <c r="H36" s="3">
        <f>+IF(H$2=0,D36,IF(H$2=1,D35,IF(H$2=2,D34,"X")))</f>
        <v>2</v>
      </c>
      <c r="I36" s="3">
        <f>+IF(I$2=0,E36,IF(I$2=1,E35,IF(I$2=2,E34,"X")))</f>
        <v>1</v>
      </c>
      <c r="J36" s="9" t="str">
        <f>IF(ISNA(+VLOOKUP(_xlfn.CONCAT(G36:I36),Cuadro0!E:F,2,FALSE)),"",+VLOOKUP(_xlfn.CONCAT(G36:I36),Cuadro0!E:F,2,FALSE))</f>
        <v>D</v>
      </c>
    </row>
    <row r="37" spans="1:10" x14ac:dyDescent="0.25">
      <c r="A37">
        <v>34</v>
      </c>
      <c r="B37" s="6" t="str">
        <f t="shared" si="1"/>
        <v>u</v>
      </c>
      <c r="C37" s="10">
        <f>IF(ISNA(+VLOOKUP($B37,Cuadro1!A:D,2,FALSE)),"",+VLOOKUP($B37,Cuadro1!A:D,2,FALSE))</f>
        <v>3</v>
      </c>
      <c r="D37" s="10">
        <f>IF(ISNA(+VLOOKUP($B37,Cuadro1!A:D,3,FALSE)),"",+VLOOKUP($B37,Cuadro1!A:D,3,FALSE))</f>
        <v>1</v>
      </c>
      <c r="E37" s="10">
        <f>IF(ISNA(+VLOOKUP($B37,Cuadro1!A:D,4,FALSE)),"",+VLOOKUP($B37,Cuadro1!A:D,4,FALSE))</f>
        <v>3</v>
      </c>
      <c r="G37" s="10">
        <f>+IF(G$2=0,C37,IF(G$2=1,C39,IF(G$2=2,C38,"X")))</f>
        <v>3</v>
      </c>
      <c r="H37" s="10">
        <f>+IF(H$2=0,D37,IF(H$2=1,D39,IF(H$2=2,D38,"X")))</f>
        <v>3</v>
      </c>
      <c r="I37" s="10">
        <f>+IF(I$2=0,E37,IF(I$2=1,E39,IF(I$2=2,E38,"X")))</f>
        <v>2</v>
      </c>
      <c r="J37" s="9" t="str">
        <f>IF(ISNA(+VLOOKUP(_xlfn.CONCAT(G37:I37),Cuadro0!E:F,2,FALSE)),"",+VLOOKUP(_xlfn.CONCAT(G37:I37),Cuadro0!E:F,2,FALSE))</f>
        <v>R</v>
      </c>
    </row>
    <row r="38" spans="1:10" x14ac:dyDescent="0.25">
      <c r="A38">
        <v>35</v>
      </c>
      <c r="B38" s="7" t="str">
        <f t="shared" si="1"/>
        <v>k</v>
      </c>
      <c r="C38" s="10">
        <f>IF(ISNA(+VLOOKUP($B38,Cuadro2!A:D,2,FALSE)),"",+VLOOKUP($B38,Cuadro2!A:D,2,FALSE))</f>
        <v>2</v>
      </c>
      <c r="D38" s="10">
        <f>IF(ISNA(+VLOOKUP($B38,Cuadro2!A:D,3,FALSE)),"",+VLOOKUP($B38,Cuadro2!A:D,3,FALSE))</f>
        <v>1</v>
      </c>
      <c r="E38" s="10">
        <f>IF(ISNA(+VLOOKUP($B38,Cuadro2!A:D,4,FALSE)),"",+VLOOKUP($B38,Cuadro2!A:D,4,FALSE))</f>
        <v>2</v>
      </c>
      <c r="F38" s="10"/>
      <c r="G38" s="10">
        <f>+IF(G$2=0,C38,IF(G$2=1,C37,IF(G$2=2,C39,"X")))</f>
        <v>2</v>
      </c>
      <c r="H38" s="10">
        <f>+IF(H$2=0,D38,IF(H$2=1,D37,IF(H$2=2,D39,"X")))</f>
        <v>1</v>
      </c>
      <c r="I38" s="10">
        <f>+IF(I$2=0,E38,IF(I$2=1,E37,IF(I$2=2,E39,"X")))</f>
        <v>3</v>
      </c>
      <c r="J38" s="9" t="str">
        <f>IF(ISNA(+VLOOKUP(_xlfn.CONCAT(G38:I38),Cuadro0!E:F,2,FALSE)),"",+VLOOKUP(_xlfn.CONCAT(G38:I38),Cuadro0!E:F,2,FALSE))</f>
        <v>T</v>
      </c>
    </row>
    <row r="39" spans="1:10" x14ac:dyDescent="0.25">
      <c r="A39">
        <v>36</v>
      </c>
      <c r="B39" s="8" t="str">
        <f t="shared" si="1"/>
        <v>O</v>
      </c>
      <c r="C39" s="3">
        <f>IF(ISNA(+VLOOKUP($B39,Cuadro3!A:D,2,FALSE)),"",+VLOOKUP($B39,Cuadro3!A:D,2,FALSE))</f>
        <v>1</v>
      </c>
      <c r="D39" s="3">
        <f>IF(ISNA(+VLOOKUP($B39,Cuadro3!A:D,3,FALSE)),"",+VLOOKUP($B39,Cuadro3!A:D,3,FALSE))</f>
        <v>3</v>
      </c>
      <c r="E39" s="3">
        <f>IF(ISNA(+VLOOKUP($B39,Cuadro3!A:D,4,FALSE)),"",+VLOOKUP($B39,Cuadro3!A:D,4,FALSE))</f>
        <v>3</v>
      </c>
      <c r="F39" s="5"/>
      <c r="G39" s="3">
        <f>+IF(G$2=0,C39,IF(G$2=1,C38,IF(G$2=2,C37,"X")))</f>
        <v>1</v>
      </c>
      <c r="H39" s="3">
        <f>+IF(H$2=0,D39,IF(H$2=1,D38,IF(H$2=2,D37,"X")))</f>
        <v>1</v>
      </c>
      <c r="I39" s="3">
        <f>+IF(I$2=0,E39,IF(I$2=1,E38,IF(I$2=2,E37,"X")))</f>
        <v>3</v>
      </c>
      <c r="J39" s="9" t="str">
        <f>IF(ISNA(+VLOOKUP(_xlfn.CONCAT(G39:I39),Cuadro0!E:F,2,FALSE)),"",+VLOOKUP(_xlfn.CONCAT(G39:I39),Cuadro0!E:F,2,FALSE))</f>
        <v>S</v>
      </c>
    </row>
    <row r="40" spans="1:10" x14ac:dyDescent="0.25">
      <c r="A40">
        <v>37</v>
      </c>
      <c r="B40" s="6" t="str">
        <f t="shared" si="1"/>
        <v>q</v>
      </c>
      <c r="C40" s="10">
        <f>IF(ISNA(+VLOOKUP($B40,Cuadro1!A:D,2,FALSE)),"",+VLOOKUP($B40,Cuadro1!A:D,2,FALSE))</f>
        <v>3</v>
      </c>
      <c r="D40" s="10">
        <f>IF(ISNA(+VLOOKUP($B40,Cuadro1!A:D,3,FALSE)),"",+VLOOKUP($B40,Cuadro1!A:D,3,FALSE))</f>
        <v>3</v>
      </c>
      <c r="E40" s="10">
        <f>IF(ISNA(+VLOOKUP($B40,Cuadro1!A:D,4,FALSE)),"",+VLOOKUP($B40,Cuadro1!A:D,4,FALSE))</f>
        <v>2</v>
      </c>
      <c r="G40" s="10">
        <f>+IF(G$2=0,C40,IF(G$2=1,C42,IF(G$2=2,C41,"X")))</f>
        <v>3</v>
      </c>
      <c r="H40" s="10">
        <f>+IF(H$2=0,D40,IF(H$2=1,D42,IF(H$2=2,D41,"X")))</f>
        <v>2</v>
      </c>
      <c r="I40" s="10">
        <f>+IF(I$2=0,E40,IF(I$2=1,E42,IF(I$2=2,E41,"X")))</f>
        <v>2</v>
      </c>
      <c r="J40" s="9" t="str">
        <f>IF(ISNA(+VLOOKUP(_xlfn.CONCAT(G40:I40),Cuadro0!E:F,2,FALSE)),"",+VLOOKUP(_xlfn.CONCAT(G40:I40),Cuadro0!E:F,2,FALSE))</f>
        <v>O</v>
      </c>
    </row>
    <row r="41" spans="1:10" x14ac:dyDescent="0.25">
      <c r="A41">
        <v>38</v>
      </c>
      <c r="B41" s="7" t="str">
        <f t="shared" si="1"/>
        <v>h</v>
      </c>
      <c r="C41" s="10">
        <f>IF(ISNA(+VLOOKUP($B41,Cuadro2!A:D,2,FALSE)),"",+VLOOKUP($B41,Cuadro2!A:D,2,FALSE))</f>
        <v>2</v>
      </c>
      <c r="D41" s="10">
        <f>IF(ISNA(+VLOOKUP($B41,Cuadro2!A:D,3,FALSE)),"",+VLOOKUP($B41,Cuadro2!A:D,3,FALSE))</f>
        <v>2</v>
      </c>
      <c r="E41" s="10">
        <f>IF(ISNA(+VLOOKUP($B41,Cuadro2!A:D,4,FALSE)),"",+VLOOKUP($B41,Cuadro2!A:D,4,FALSE))</f>
        <v>2</v>
      </c>
      <c r="F41" s="10"/>
      <c r="G41" s="10">
        <f>+IF(G$2=0,C41,IF(G$2=1,C40,IF(G$2=2,C42,"X")))</f>
        <v>2</v>
      </c>
      <c r="H41" s="10">
        <f>+IF(H$2=0,D41,IF(H$2=1,D40,IF(H$2=2,D42,"X")))</f>
        <v>3</v>
      </c>
      <c r="I41" s="10">
        <f>+IF(I$2=0,E41,IF(I$2=1,E40,IF(I$2=2,E42,"X")))</f>
        <v>1</v>
      </c>
      <c r="J41" s="9" t="str">
        <f>IF(ISNA(+VLOOKUP(_xlfn.CONCAT(G41:I41),Cuadro0!E:F,2,FALSE)),"",+VLOOKUP(_xlfn.CONCAT(G41:I41),Cuadro0!E:F,2,FALSE))</f>
        <v>H</v>
      </c>
    </row>
    <row r="42" spans="1:10" x14ac:dyDescent="0.25">
      <c r="A42">
        <v>39</v>
      </c>
      <c r="B42" s="8" t="str">
        <f t="shared" si="1"/>
        <v>k</v>
      </c>
      <c r="C42" s="3">
        <f>IF(ISNA(+VLOOKUP($B42,Cuadro3!A:D,2,FALSE)),"",+VLOOKUP($B42,Cuadro3!A:D,2,FALSE))</f>
        <v>3</v>
      </c>
      <c r="D42" s="3">
        <f>IF(ISNA(+VLOOKUP($B42,Cuadro3!A:D,3,FALSE)),"",+VLOOKUP($B42,Cuadro3!A:D,3,FALSE))</f>
        <v>2</v>
      </c>
      <c r="E42" s="3">
        <f>IF(ISNA(+VLOOKUP($B42,Cuadro3!A:D,4,FALSE)),"",+VLOOKUP($B42,Cuadro3!A:D,4,FALSE))</f>
        <v>1</v>
      </c>
      <c r="F42" s="5"/>
      <c r="G42" s="3">
        <f>+IF(G$2=0,C42,IF(G$2=1,C41,IF(G$2=2,C40,"X")))</f>
        <v>3</v>
      </c>
      <c r="H42" s="3">
        <f>+IF(H$2=0,D42,IF(H$2=1,D41,IF(H$2=2,D40,"X")))</f>
        <v>2</v>
      </c>
      <c r="I42" s="3">
        <f>+IF(I$2=0,E42,IF(I$2=1,E41,IF(I$2=2,E40,"X")))</f>
        <v>2</v>
      </c>
      <c r="J42" s="9" t="str">
        <f>IF(ISNA(+VLOOKUP(_xlfn.CONCAT(G42:I42),Cuadro0!E:F,2,FALSE)),"",+VLOOKUP(_xlfn.CONCAT(G42:I42),Cuadro0!E:F,2,FALSE))</f>
        <v>O</v>
      </c>
    </row>
    <row r="43" spans="1:10" x14ac:dyDescent="0.25">
      <c r="A43">
        <v>40</v>
      </c>
      <c r="B43" s="6" t="str">
        <f t="shared" si="1"/>
        <v>b</v>
      </c>
      <c r="C43" s="10">
        <f>IF(ISNA(+VLOOKUP($B43,Cuadro1!A:D,2,FALSE)),"",+VLOOKUP($B43,Cuadro1!A:D,2,FALSE))</f>
        <v>1</v>
      </c>
      <c r="D43" s="10">
        <f>IF(ISNA(+VLOOKUP($B43,Cuadro1!A:D,3,FALSE)),"",+VLOOKUP($B43,Cuadro1!A:D,3,FALSE))</f>
        <v>2</v>
      </c>
      <c r="E43" s="10">
        <f>IF(ISNA(+VLOOKUP($B43,Cuadro1!A:D,4,FALSE)),"",+VLOOKUP($B43,Cuadro1!A:D,4,FALSE))</f>
        <v>1</v>
      </c>
      <c r="G43" s="10">
        <f>+IF(G$2=0,C43,IF(G$2=1,C45,IF(G$2=2,C44,"X")))</f>
        <v>1</v>
      </c>
      <c r="H43" s="10">
        <f>+IF(H$2=0,D43,IF(H$2=1,D45,IF(H$2=2,D44,"X")))</f>
        <v>3</v>
      </c>
      <c r="I43" s="10">
        <f>+IF(I$2=0,E43,IF(I$2=1,E45,IF(I$2=2,E44,"X")))</f>
        <v>2</v>
      </c>
      <c r="J43" s="9" t="str">
        <f>IF(ISNA(+VLOOKUP(_xlfn.CONCAT(G43:I43),Cuadro0!E:F,2,FALSE)),"",+VLOOKUP(_xlfn.CONCAT(G43:I43),Cuadro0!E:F,2,FALSE))</f>
        <v>P</v>
      </c>
    </row>
    <row r="44" spans="1:10" x14ac:dyDescent="0.25">
      <c r="A44">
        <v>41</v>
      </c>
      <c r="B44" s="7" t="str">
        <f t="shared" si="1"/>
        <v>h</v>
      </c>
      <c r="C44" s="10">
        <f>IF(ISNA(+VLOOKUP($B44,Cuadro2!A:D,2,FALSE)),"",+VLOOKUP($B44,Cuadro2!A:D,2,FALSE))</f>
        <v>2</v>
      </c>
      <c r="D44" s="10">
        <f>IF(ISNA(+VLOOKUP($B44,Cuadro2!A:D,3,FALSE)),"",+VLOOKUP($B44,Cuadro2!A:D,3,FALSE))</f>
        <v>2</v>
      </c>
      <c r="E44" s="10">
        <f>IF(ISNA(+VLOOKUP($B44,Cuadro2!A:D,4,FALSE)),"",+VLOOKUP($B44,Cuadro2!A:D,4,FALSE))</f>
        <v>2</v>
      </c>
      <c r="F44" s="10"/>
      <c r="G44" s="10">
        <f>+IF(G$2=0,C44,IF(G$2=1,C43,IF(G$2=2,C45,"X")))</f>
        <v>2</v>
      </c>
      <c r="H44" s="10">
        <f>+IF(H$2=0,D44,IF(H$2=1,D43,IF(H$2=2,D45,"X")))</f>
        <v>2</v>
      </c>
      <c r="I44" s="10">
        <f>+IF(I$2=0,E44,IF(I$2=1,E43,IF(I$2=2,E45,"X")))</f>
        <v>1</v>
      </c>
      <c r="J44" s="9" t="str">
        <f>IF(ISNA(+VLOOKUP(_xlfn.CONCAT(G44:I44),Cuadro0!E:F,2,FALSE)),"",+VLOOKUP(_xlfn.CONCAT(G44:I44),Cuadro0!E:F,2,FALSE))</f>
        <v>E</v>
      </c>
    </row>
    <row r="45" spans="1:10" x14ac:dyDescent="0.25">
      <c r="A45">
        <v>42</v>
      </c>
      <c r="B45" s="8" t="str">
        <f t="shared" si="1"/>
        <v>c</v>
      </c>
      <c r="C45" s="3">
        <f>IF(ISNA(+VLOOKUP($B45,Cuadro3!A:D,2,FALSE)),"",+VLOOKUP($B45,Cuadro3!A:D,2,FALSE))</f>
        <v>3</v>
      </c>
      <c r="D45" s="3">
        <f>IF(ISNA(+VLOOKUP($B45,Cuadro3!A:D,3,FALSE)),"",+VLOOKUP($B45,Cuadro3!A:D,3,FALSE))</f>
        <v>3</v>
      </c>
      <c r="E45" s="3">
        <f>IF(ISNA(+VLOOKUP($B45,Cuadro3!A:D,4,FALSE)),"",+VLOOKUP($B45,Cuadro3!A:D,4,FALSE))</f>
        <v>1</v>
      </c>
      <c r="F45" s="5"/>
      <c r="G45" s="3">
        <f>+IF(G$2=0,C45,IF(G$2=1,C44,IF(G$2=2,C43,"X")))</f>
        <v>3</v>
      </c>
      <c r="H45" s="3">
        <f>+IF(H$2=0,D45,IF(H$2=1,D44,IF(H$2=2,D43,"X")))</f>
        <v>2</v>
      </c>
      <c r="I45" s="3">
        <f>+IF(I$2=0,E45,IF(I$2=1,E44,IF(I$2=2,E43,"X")))</f>
        <v>1</v>
      </c>
      <c r="J45" s="9" t="str">
        <f>IF(ISNA(+VLOOKUP(_xlfn.CONCAT(G45:I45),Cuadro0!E:F,2,FALSE)),"",+VLOOKUP(_xlfn.CONCAT(G45:I45),Cuadro0!E:F,2,FALSE))</f>
        <v>F</v>
      </c>
    </row>
    <row r="46" spans="1:10" x14ac:dyDescent="0.25">
      <c r="A46">
        <v>43</v>
      </c>
      <c r="B46" s="6" t="str">
        <f t="shared" si="1"/>
        <v>i</v>
      </c>
      <c r="C46" s="10">
        <f>IF(ISNA(+VLOOKUP($B46,Cuadro1!A:D,2,FALSE)),"",+VLOOKUP($B46,Cuadro1!A:D,2,FALSE))</f>
        <v>3</v>
      </c>
      <c r="D46" s="10">
        <f>IF(ISNA(+VLOOKUP($B46,Cuadro1!A:D,3,FALSE)),"",+VLOOKUP($B46,Cuadro1!A:D,3,FALSE))</f>
        <v>1</v>
      </c>
      <c r="E46" s="10">
        <f>IF(ISNA(+VLOOKUP($B46,Cuadro1!A:D,4,FALSE)),"",+VLOOKUP($B46,Cuadro1!A:D,4,FALSE))</f>
        <v>2</v>
      </c>
      <c r="G46" s="10">
        <f>+IF(G$2=0,C46,IF(G$2=1,C48,IF(G$2=2,C47,"X")))</f>
        <v>3</v>
      </c>
      <c r="H46" s="10">
        <f>+IF(H$2=0,D46,IF(H$2=1,D48,IF(H$2=2,D47,"X")))</f>
        <v>1</v>
      </c>
      <c r="I46" s="10">
        <f>+IF(I$2=0,E46,IF(I$2=1,E48,IF(I$2=2,E47,"X")))</f>
        <v>3</v>
      </c>
      <c r="J46" s="9" t="str">
        <f>IF(ISNA(+VLOOKUP(_xlfn.CONCAT(G46:I46),Cuadro0!E:F,2,FALSE)),"",+VLOOKUP(_xlfn.CONCAT(G46:I46),Cuadro0!E:F,2,FALSE))</f>
        <v>U</v>
      </c>
    </row>
    <row r="47" spans="1:10" x14ac:dyDescent="0.25">
      <c r="A47">
        <v>44</v>
      </c>
      <c r="B47" s="7" t="str">
        <f t="shared" si="1"/>
        <v>x</v>
      </c>
      <c r="C47" s="10">
        <f>IF(ISNA(+VLOOKUP($B47,Cuadro2!A:D,2,FALSE)),"",+VLOOKUP($B47,Cuadro2!A:D,2,FALSE))</f>
        <v>3</v>
      </c>
      <c r="D47" s="10">
        <f>IF(ISNA(+VLOOKUP($B47,Cuadro2!A:D,3,FALSE)),"",+VLOOKUP($B47,Cuadro2!A:D,3,FALSE))</f>
        <v>1</v>
      </c>
      <c r="E47" s="10">
        <f>IF(ISNA(+VLOOKUP($B47,Cuadro2!A:D,4,FALSE)),"",+VLOOKUP($B47,Cuadro2!A:D,4,FALSE))</f>
        <v>3</v>
      </c>
      <c r="F47" s="10"/>
      <c r="G47" s="10">
        <f>+IF(G$2=0,C47,IF(G$2=1,C46,IF(G$2=2,C48,"X")))</f>
        <v>3</v>
      </c>
      <c r="H47" s="10">
        <f>+IF(H$2=0,D47,IF(H$2=1,D46,IF(H$2=2,D48,"X")))</f>
        <v>1</v>
      </c>
      <c r="I47" s="10">
        <f>+IF(I$2=0,E47,IF(I$2=1,E46,IF(I$2=2,E48,"X")))</f>
        <v>2</v>
      </c>
      <c r="J47" s="9" t="str">
        <f>IF(ISNA(+VLOOKUP(_xlfn.CONCAT(G47:I47),Cuadro0!E:F,2,FALSE)),"",+VLOOKUP(_xlfn.CONCAT(G47:I47),Cuadro0!E:F,2,FALSE))</f>
        <v>L</v>
      </c>
    </row>
    <row r="48" spans="1:10" x14ac:dyDescent="0.25">
      <c r="A48">
        <v>45</v>
      </c>
      <c r="B48" s="8" t="str">
        <f t="shared" si="1"/>
        <v>-</v>
      </c>
      <c r="C48" s="3">
        <f>IF(ISNA(+VLOOKUP($B48,Cuadro3!A:D,2,FALSE)),"",+VLOOKUP($B48,Cuadro3!A:D,2,FALSE))</f>
        <v>3</v>
      </c>
      <c r="D48" s="3">
        <f>IF(ISNA(+VLOOKUP($B48,Cuadro3!A:D,3,FALSE)),"",+VLOOKUP($B48,Cuadro3!A:D,3,FALSE))</f>
        <v>1</v>
      </c>
      <c r="E48" s="3">
        <f>IF(ISNA(+VLOOKUP($B48,Cuadro3!A:D,4,FALSE)),"",+VLOOKUP($B48,Cuadro3!A:D,4,FALSE))</f>
        <v>2</v>
      </c>
      <c r="F48" s="5"/>
      <c r="G48" s="3">
        <f>+IF(G$2=0,C48,IF(G$2=1,C47,IF(G$2=2,C46,"X")))</f>
        <v>3</v>
      </c>
      <c r="H48" s="3">
        <f>+IF(H$2=0,D48,IF(H$2=1,D47,IF(H$2=2,D46,"X")))</f>
        <v>1</v>
      </c>
      <c r="I48" s="3">
        <f>+IF(I$2=0,E48,IF(I$2=1,E47,IF(I$2=2,E46,"X")))</f>
        <v>2</v>
      </c>
      <c r="J48" s="9" t="str">
        <f>IF(ISNA(+VLOOKUP(_xlfn.CONCAT(G48:I48),Cuadro0!E:F,2,FALSE)),"",+VLOOKUP(_xlfn.CONCAT(G48:I48),Cuadro0!E:F,2,FALSE))</f>
        <v>L</v>
      </c>
    </row>
    <row r="49" spans="1:10" x14ac:dyDescent="0.25">
      <c r="A49">
        <v>46</v>
      </c>
      <c r="B49" s="6" t="str">
        <f t="shared" si="1"/>
        <v>m</v>
      </c>
      <c r="C49" s="10">
        <f>IF(ISNA(+VLOOKUP($B49,Cuadro1!A:D,2,FALSE)),"",+VLOOKUP($B49,Cuadro1!A:D,2,FALSE))</f>
        <v>1</v>
      </c>
      <c r="D49" s="10">
        <f>IF(ISNA(+VLOOKUP($B49,Cuadro1!A:D,3,FALSE)),"",+VLOOKUP($B49,Cuadro1!A:D,3,FALSE))</f>
        <v>1</v>
      </c>
      <c r="E49" s="10">
        <f>IF(ISNA(+VLOOKUP($B49,Cuadro1!A:D,4,FALSE)),"",+VLOOKUP($B49,Cuadro1!A:D,4,FALSE))</f>
        <v>1</v>
      </c>
      <c r="G49" s="10">
        <f>+IF(G$2=0,C49,IF(G$2=1,C51,IF(G$2=2,C50,"X")))</f>
        <v>1</v>
      </c>
      <c r="H49" s="10">
        <f>+IF(H$2=0,D49,IF(H$2=1,D51,IF(H$2=2,D50,"X")))</f>
        <v>3</v>
      </c>
      <c r="I49" s="10">
        <f>+IF(I$2=0,E49,IF(I$2=1,E51,IF(I$2=2,E50,"X")))</f>
        <v>3</v>
      </c>
      <c r="J49" s="9" t="str">
        <f>IF(ISNA(+VLOOKUP(_xlfn.CONCAT(G49:I49),Cuadro0!E:F,2,FALSE)),"",+VLOOKUP(_xlfn.CONCAT(G49:I49),Cuadro0!E:F,2,FALSE))</f>
        <v>Y</v>
      </c>
    </row>
    <row r="50" spans="1:10" x14ac:dyDescent="0.25">
      <c r="A50">
        <v>47</v>
      </c>
      <c r="B50" s="7" t="str">
        <f t="shared" si="1"/>
        <v>r</v>
      </c>
      <c r="C50" s="10">
        <f>IF(ISNA(+VLOOKUP($B50,Cuadro2!A:D,2,FALSE)),"",+VLOOKUP($B50,Cuadro2!A:D,2,FALSE))</f>
        <v>2</v>
      </c>
      <c r="D50" s="10">
        <f>IF(ISNA(+VLOOKUP($B50,Cuadro2!A:D,3,FALSE)),"",+VLOOKUP($B50,Cuadro2!A:D,3,FALSE))</f>
        <v>3</v>
      </c>
      <c r="E50" s="10">
        <f>IF(ISNA(+VLOOKUP($B50,Cuadro2!A:D,4,FALSE)),"",+VLOOKUP($B50,Cuadro2!A:D,4,FALSE))</f>
        <v>3</v>
      </c>
      <c r="F50" s="10"/>
      <c r="G50" s="10">
        <f>+IF(G$2=0,C50,IF(G$2=1,C49,IF(G$2=2,C51,"X")))</f>
        <v>2</v>
      </c>
      <c r="H50" s="10">
        <f>+IF(H$2=0,D50,IF(H$2=1,D49,IF(H$2=2,D51,"X")))</f>
        <v>1</v>
      </c>
      <c r="I50" s="10">
        <f>+IF(I$2=0,E50,IF(I$2=1,E49,IF(I$2=2,E51,"X")))</f>
        <v>3</v>
      </c>
      <c r="J50" s="9" t="str">
        <f>IF(ISNA(+VLOOKUP(_xlfn.CONCAT(G50:I50),Cuadro0!E:F,2,FALSE)),"",+VLOOKUP(_xlfn.CONCAT(G50:I50),Cuadro0!E:F,2,FALSE))</f>
        <v>T</v>
      </c>
    </row>
    <row r="51" spans="1:10" x14ac:dyDescent="0.25">
      <c r="A51">
        <v>48</v>
      </c>
      <c r="B51" s="8" t="str">
        <f t="shared" si="1"/>
        <v>r</v>
      </c>
      <c r="C51" s="3">
        <f>IF(ISNA(+VLOOKUP($B51,Cuadro3!A:D,2,FALSE)),"",+VLOOKUP($B51,Cuadro3!A:D,2,FALSE))</f>
        <v>2</v>
      </c>
      <c r="D51" s="3">
        <f>IF(ISNA(+VLOOKUP($B51,Cuadro3!A:D,3,FALSE)),"",+VLOOKUP($B51,Cuadro3!A:D,3,FALSE))</f>
        <v>3</v>
      </c>
      <c r="E51" s="3">
        <f>IF(ISNA(+VLOOKUP($B51,Cuadro3!A:D,4,FALSE)),"",+VLOOKUP($B51,Cuadro3!A:D,4,FALSE))</f>
        <v>3</v>
      </c>
      <c r="F51" s="5"/>
      <c r="G51" s="3">
        <f>+IF(G$2=0,C51,IF(G$2=1,C50,IF(G$2=2,C49,"X")))</f>
        <v>2</v>
      </c>
      <c r="H51" s="3">
        <f>+IF(H$2=0,D51,IF(H$2=1,D50,IF(H$2=2,D49,"X")))</f>
        <v>3</v>
      </c>
      <c r="I51" s="3">
        <f>+IF(I$2=0,E51,IF(I$2=1,E50,IF(I$2=2,E49,"X")))</f>
        <v>1</v>
      </c>
      <c r="J51" s="9" t="str">
        <f>IF(ISNA(+VLOOKUP(_xlfn.CONCAT(G51:I51),Cuadro0!E:F,2,FALSE)),"",+VLOOKUP(_xlfn.CONCAT(G51:I51),Cuadro0!E:F,2,FALSE))</f>
        <v>H</v>
      </c>
    </row>
    <row r="52" spans="1:10" x14ac:dyDescent="0.25">
      <c r="A52">
        <v>49</v>
      </c>
      <c r="B52" s="6" t="str">
        <f t="shared" si="1"/>
        <v>u</v>
      </c>
      <c r="C52" s="10">
        <f>IF(ISNA(+VLOOKUP($B52,Cuadro1!A:D,2,FALSE)),"",+VLOOKUP($B52,Cuadro1!A:D,2,FALSE))</f>
        <v>3</v>
      </c>
      <c r="D52" s="10">
        <f>IF(ISNA(+VLOOKUP($B52,Cuadro1!A:D,3,FALSE)),"",+VLOOKUP($B52,Cuadro1!A:D,3,FALSE))</f>
        <v>1</v>
      </c>
      <c r="E52" s="10">
        <f>IF(ISNA(+VLOOKUP($B52,Cuadro1!A:D,4,FALSE)),"",+VLOOKUP($B52,Cuadro1!A:D,4,FALSE))</f>
        <v>3</v>
      </c>
      <c r="G52" s="10">
        <f>+IF(G$2=0,C52,IF(G$2=1,C54,IF(G$2=2,C53,"X")))</f>
        <v>3</v>
      </c>
      <c r="H52" s="10">
        <f>+IF(H$2=0,D52,IF(H$2=1,D54,IF(H$2=2,D53,"X")))</f>
        <v>3</v>
      </c>
      <c r="I52" s="10">
        <f>+IF(I$2=0,E52,IF(I$2=1,E54,IF(I$2=2,E53,"X")))</f>
        <v>1</v>
      </c>
      <c r="J52" s="9" t="str">
        <f>IF(ISNA(+VLOOKUP(_xlfn.CONCAT(G52:I52),Cuadro0!E:F,2,FALSE)),"",+VLOOKUP(_xlfn.CONCAT(G52:I52),Cuadro0!E:F,2,FALSE))</f>
        <v>I</v>
      </c>
    </row>
    <row r="53" spans="1:10" x14ac:dyDescent="0.25">
      <c r="A53">
        <v>50</v>
      </c>
      <c r="B53" s="7" t="str">
        <f t="shared" si="1"/>
        <v>i</v>
      </c>
      <c r="C53" s="10">
        <f>IF(ISNA(+VLOOKUP($B53,Cuadro2!A:D,2,FALSE)),"",+VLOOKUP($B53,Cuadro2!A:D,2,FALSE))</f>
        <v>1</v>
      </c>
      <c r="D53" s="10">
        <f>IF(ISNA(+VLOOKUP($B53,Cuadro2!A:D,3,FALSE)),"",+VLOOKUP($B53,Cuadro2!A:D,3,FALSE))</f>
        <v>2</v>
      </c>
      <c r="E53" s="10">
        <f>IF(ISNA(+VLOOKUP($B53,Cuadro2!A:D,4,FALSE)),"",+VLOOKUP($B53,Cuadro2!A:D,4,FALSE))</f>
        <v>1</v>
      </c>
      <c r="F53" s="10"/>
      <c r="G53" s="10">
        <f>+IF(G$2=0,C53,IF(G$2=1,C52,IF(G$2=2,C54,"X")))</f>
        <v>1</v>
      </c>
      <c r="H53" s="10">
        <f>+IF(H$2=0,D53,IF(H$2=1,D52,IF(H$2=2,D54,"X")))</f>
        <v>1</v>
      </c>
      <c r="I53" s="10">
        <f>+IF(I$2=0,E53,IF(I$2=1,E52,IF(I$2=2,E54,"X")))</f>
        <v>3</v>
      </c>
      <c r="J53" s="9" t="str">
        <f>IF(ISNA(+VLOOKUP(_xlfn.CONCAT(G53:I53),Cuadro0!E:F,2,FALSE)),"",+VLOOKUP(_xlfn.CONCAT(G53:I53),Cuadro0!E:F,2,FALSE))</f>
        <v>S</v>
      </c>
    </row>
    <row r="54" spans="1:10" x14ac:dyDescent="0.25">
      <c r="A54">
        <v>51</v>
      </c>
      <c r="B54" s="8" t="str">
        <f t="shared" si="1"/>
        <v>r</v>
      </c>
      <c r="C54" s="3">
        <f>IF(ISNA(+VLOOKUP($B54,Cuadro3!A:D,2,FALSE)),"",+VLOOKUP($B54,Cuadro3!A:D,2,FALSE))</f>
        <v>2</v>
      </c>
      <c r="D54" s="3">
        <f>IF(ISNA(+VLOOKUP($B54,Cuadro3!A:D,3,FALSE)),"",+VLOOKUP($B54,Cuadro3!A:D,3,FALSE))</f>
        <v>3</v>
      </c>
      <c r="E54" s="3">
        <f>IF(ISNA(+VLOOKUP($B54,Cuadro3!A:D,4,FALSE)),"",+VLOOKUP($B54,Cuadro3!A:D,4,FALSE))</f>
        <v>3</v>
      </c>
      <c r="F54" s="5"/>
      <c r="G54" s="3">
        <f>+IF(G$2=0,C54,IF(G$2=1,C53,IF(G$2=2,C52,"X")))</f>
        <v>2</v>
      </c>
      <c r="H54" s="3">
        <f>+IF(H$2=0,D54,IF(H$2=1,D53,IF(H$2=2,D52,"X")))</f>
        <v>2</v>
      </c>
      <c r="I54" s="3">
        <f>+IF(I$2=0,E54,IF(I$2=1,E53,IF(I$2=2,E52,"X")))</f>
        <v>3</v>
      </c>
      <c r="J54" s="9" t="str">
        <f>IF(ISNA(+VLOOKUP(_xlfn.CONCAT(G54:I54),Cuadro0!E:F,2,FALSE)),"",+VLOOKUP(_xlfn.CONCAT(G54:I54),Cuadro0!E:F,2,FALSE))</f>
        <v>W</v>
      </c>
    </row>
    <row r="55" spans="1:10" x14ac:dyDescent="0.25">
      <c r="A55">
        <v>52</v>
      </c>
      <c r="B55" s="6" t="str">
        <f t="shared" si="1"/>
        <v>i</v>
      </c>
      <c r="C55" s="10">
        <f>IF(ISNA(+VLOOKUP($B55,Cuadro1!A:D,2,FALSE)),"",+VLOOKUP($B55,Cuadro1!A:D,2,FALSE))</f>
        <v>3</v>
      </c>
      <c r="D55" s="10">
        <f>IF(ISNA(+VLOOKUP($B55,Cuadro1!A:D,3,FALSE)),"",+VLOOKUP($B55,Cuadro1!A:D,3,FALSE))</f>
        <v>1</v>
      </c>
      <c r="E55" s="10">
        <f>IF(ISNA(+VLOOKUP($B55,Cuadro1!A:D,4,FALSE)),"",+VLOOKUP($B55,Cuadro1!A:D,4,FALSE))</f>
        <v>2</v>
      </c>
      <c r="G55" s="10">
        <f>+IF(G$2=0,C55,IF(G$2=1,C57,IF(G$2=2,C56,"X")))</f>
        <v>3</v>
      </c>
      <c r="H55" s="10">
        <f>+IF(H$2=0,D55,IF(H$2=1,D57,IF(H$2=2,D56,"X")))</f>
        <v>3</v>
      </c>
      <c r="I55" s="10">
        <f>+IF(I$2=0,E55,IF(I$2=1,E57,IF(I$2=2,E56,"X")))</f>
        <v>1</v>
      </c>
      <c r="J55" s="9" t="str">
        <f>IF(ISNA(+VLOOKUP(_xlfn.CONCAT(G55:I55),Cuadro0!E:F,2,FALSE)),"",+VLOOKUP(_xlfn.CONCAT(G55:I55),Cuadro0!E:F,2,FALSE))</f>
        <v>I</v>
      </c>
    </row>
    <row r="56" spans="1:10" x14ac:dyDescent="0.25">
      <c r="A56">
        <v>53</v>
      </c>
      <c r="B56" s="7" t="str">
        <f t="shared" si="1"/>
        <v>c</v>
      </c>
      <c r="C56" s="10">
        <f>IF(ISNA(+VLOOKUP($B56,Cuadro2!A:D,2,FALSE)),"",+VLOOKUP($B56,Cuadro2!A:D,2,FALSE))</f>
        <v>3</v>
      </c>
      <c r="D56" s="10">
        <f>IF(ISNA(+VLOOKUP($B56,Cuadro2!A:D,3,FALSE)),"",+VLOOKUP($B56,Cuadro2!A:D,3,FALSE))</f>
        <v>3</v>
      </c>
      <c r="E56" s="10">
        <f>IF(ISNA(+VLOOKUP($B56,Cuadro2!A:D,4,FALSE)),"",+VLOOKUP($B56,Cuadro2!A:D,4,FALSE))</f>
        <v>1</v>
      </c>
      <c r="F56" s="10"/>
      <c r="G56" s="10">
        <f>+IF(G$2=0,C56,IF(G$2=1,C55,IF(G$2=2,C57,"X")))</f>
        <v>3</v>
      </c>
      <c r="H56" s="10">
        <f>+IF(H$2=0,D56,IF(H$2=1,D55,IF(H$2=2,D57,"X")))</f>
        <v>1</v>
      </c>
      <c r="I56" s="10">
        <f>+IF(I$2=0,E56,IF(I$2=1,E55,IF(I$2=2,E57,"X")))</f>
        <v>2</v>
      </c>
      <c r="J56" s="9" t="str">
        <f>IF(ISNA(+VLOOKUP(_xlfn.CONCAT(G56:I56),Cuadro0!E:F,2,FALSE)),"",+VLOOKUP(_xlfn.CONCAT(G56:I56),Cuadro0!E:F,2,FALSE))</f>
        <v>L</v>
      </c>
    </row>
    <row r="57" spans="1:10" x14ac:dyDescent="0.25">
      <c r="A57">
        <v>54</v>
      </c>
      <c r="B57" s="8" t="str">
        <f t="shared" si="1"/>
        <v>z</v>
      </c>
      <c r="C57" s="3">
        <f>IF(ISNA(+VLOOKUP($B57,Cuadro3!A:D,2,FALSE)),"",+VLOOKUP($B57,Cuadro3!A:D,2,FALSE))</f>
        <v>3</v>
      </c>
      <c r="D57" s="3">
        <f>IF(ISNA(+VLOOKUP($B57,Cuadro3!A:D,3,FALSE)),"",+VLOOKUP($B57,Cuadro3!A:D,3,FALSE))</f>
        <v>3</v>
      </c>
      <c r="E57" s="3">
        <f>IF(ISNA(+VLOOKUP($B57,Cuadro3!A:D,4,FALSE)),"",+VLOOKUP($B57,Cuadro3!A:D,4,FALSE))</f>
        <v>2</v>
      </c>
      <c r="F57" s="5"/>
      <c r="G57" s="3">
        <f>+IF(G$2=0,C57,IF(G$2=1,C56,IF(G$2=2,C55,"X")))</f>
        <v>3</v>
      </c>
      <c r="H57" s="3">
        <f>+IF(H$2=0,D57,IF(H$2=1,D56,IF(H$2=2,D55,"X")))</f>
        <v>3</v>
      </c>
      <c r="I57" s="3">
        <f>+IF(I$2=0,E57,IF(I$2=1,E56,IF(I$2=2,E55,"X")))</f>
        <v>2</v>
      </c>
      <c r="J57" s="9" t="str">
        <f>IF(ISNA(+VLOOKUP(_xlfn.CONCAT(G57:I57),Cuadro0!E:F,2,FALSE)),"",+VLOOKUP(_xlfn.CONCAT(G57:I57),Cuadro0!E:F,2,FALSE))</f>
        <v>R</v>
      </c>
    </row>
    <row r="58" spans="1:10" x14ac:dyDescent="0.25">
      <c r="A58">
        <v>55</v>
      </c>
      <c r="B58" s="6" t="str">
        <f t="shared" si="1"/>
        <v>y</v>
      </c>
      <c r="C58" s="10">
        <f>IF(ISNA(+VLOOKUP($B58,Cuadro1!A:D,2,FALSE)),"",+VLOOKUP($B58,Cuadro1!A:D,2,FALSE))</f>
        <v>1</v>
      </c>
      <c r="D58" s="10">
        <f>IF(ISNA(+VLOOKUP($B58,Cuadro1!A:D,3,FALSE)),"",+VLOOKUP($B58,Cuadro1!A:D,3,FALSE))</f>
        <v>1</v>
      </c>
      <c r="E58" s="10">
        <f>IF(ISNA(+VLOOKUP($B58,Cuadro1!A:D,4,FALSE)),"",+VLOOKUP($B58,Cuadro1!A:D,4,FALSE))</f>
        <v>3</v>
      </c>
      <c r="G58" s="10">
        <f>+IF(G$2=0,C58,IF(G$2=1,C60,IF(G$2=2,C59,"X")))</f>
        <v>1</v>
      </c>
      <c r="H58" s="10">
        <f>+IF(H$2=0,D58,IF(H$2=1,D60,IF(H$2=2,D59,"X")))</f>
        <v>1</v>
      </c>
      <c r="I58" s="10">
        <f>+IF(I$2=0,E58,IF(I$2=1,E60,IF(I$2=2,E59,"X")))</f>
        <v>1</v>
      </c>
      <c r="J58" s="9" t="str">
        <f>IF(ISNA(+VLOOKUP(_xlfn.CONCAT(G58:I58),Cuadro0!E:F,2,FALSE)),"",+VLOOKUP(_xlfn.CONCAT(G58:I58),Cuadro0!E:F,2,FALSE))</f>
        <v>A</v>
      </c>
    </row>
    <row r="59" spans="1:10" x14ac:dyDescent="0.25">
      <c r="A59">
        <v>56</v>
      </c>
      <c r="B59" s="7" t="str">
        <f t="shared" si="1"/>
        <v>b</v>
      </c>
      <c r="C59" s="10">
        <f>IF(ISNA(+VLOOKUP($B59,Cuadro2!A:D,2,FALSE)),"",+VLOOKUP($B59,Cuadro2!A:D,2,FALSE))</f>
        <v>1</v>
      </c>
      <c r="D59" s="10">
        <f>IF(ISNA(+VLOOKUP($B59,Cuadro2!A:D,3,FALSE)),"",+VLOOKUP($B59,Cuadro2!A:D,3,FALSE))</f>
        <v>1</v>
      </c>
      <c r="E59" s="10">
        <f>IF(ISNA(+VLOOKUP($B59,Cuadro2!A:D,4,FALSE)),"",+VLOOKUP($B59,Cuadro2!A:D,4,FALSE))</f>
        <v>1</v>
      </c>
      <c r="F59" s="10"/>
      <c r="G59" s="10">
        <f>+IF(G$2=0,C59,IF(G$2=1,C58,IF(G$2=2,C60,"X")))</f>
        <v>1</v>
      </c>
      <c r="H59" s="10">
        <f>+IF(H$2=0,D59,IF(H$2=1,D58,IF(H$2=2,D60,"X")))</f>
        <v>1</v>
      </c>
      <c r="I59" s="10">
        <f>+IF(I$2=0,E59,IF(I$2=1,E58,IF(I$2=2,E60,"X")))</f>
        <v>3</v>
      </c>
      <c r="J59" s="9" t="str">
        <f>IF(ISNA(+VLOOKUP(_xlfn.CONCAT(G59:I59),Cuadro0!E:F,2,FALSE)),"",+VLOOKUP(_xlfn.CONCAT(G59:I59),Cuadro0!E:F,2,FALSE))</f>
        <v>S</v>
      </c>
    </row>
    <row r="60" spans="1:10" x14ac:dyDescent="0.25">
      <c r="A60">
        <v>57</v>
      </c>
      <c r="B60" s="8" t="str">
        <f t="shared" si="1"/>
        <v>t</v>
      </c>
      <c r="C60" s="3">
        <f>IF(ISNA(+VLOOKUP($B60,Cuadro3!A:D,2,FALSE)),"",+VLOOKUP($B60,Cuadro3!A:D,2,FALSE))</f>
        <v>1</v>
      </c>
      <c r="D60" s="3">
        <f>IF(ISNA(+VLOOKUP($B60,Cuadro3!A:D,3,FALSE)),"",+VLOOKUP($B60,Cuadro3!A:D,3,FALSE))</f>
        <v>1</v>
      </c>
      <c r="E60" s="3">
        <f>IF(ISNA(+VLOOKUP($B60,Cuadro3!A:D,4,FALSE)),"",+VLOOKUP($B60,Cuadro3!A:D,4,FALSE))</f>
        <v>3</v>
      </c>
      <c r="F60" s="5"/>
      <c r="G60" s="3">
        <f>+IF(G$2=0,C60,IF(G$2=1,C59,IF(G$2=2,C58,"X")))</f>
        <v>1</v>
      </c>
      <c r="H60" s="3">
        <f>+IF(H$2=0,D60,IF(H$2=1,D59,IF(H$2=2,D58,"X")))</f>
        <v>1</v>
      </c>
      <c r="I60" s="3">
        <f>+IF(I$2=0,E60,IF(I$2=1,E59,IF(I$2=2,E58,"X")))</f>
        <v>3</v>
      </c>
      <c r="J60" s="9" t="str">
        <f>IF(ISNA(+VLOOKUP(_xlfn.CONCAT(G60:I60),Cuadro0!E:F,2,FALSE)),"",+VLOOKUP(_xlfn.CONCAT(G60:I60),Cuadro0!E:F,2,FALSE))</f>
        <v>S</v>
      </c>
    </row>
    <row r="61" spans="1:10" x14ac:dyDescent="0.25">
      <c r="A61">
        <v>58</v>
      </c>
      <c r="B61" s="6" t="str">
        <f t="shared" si="1"/>
        <v>u</v>
      </c>
      <c r="C61" s="10">
        <f>IF(ISNA(+VLOOKUP($B61,Cuadro1!A:D,2,FALSE)),"",+VLOOKUP($B61,Cuadro1!A:D,2,FALSE))</f>
        <v>3</v>
      </c>
      <c r="D61" s="10">
        <f>IF(ISNA(+VLOOKUP($B61,Cuadro1!A:D,3,FALSE)),"",+VLOOKUP($B61,Cuadro1!A:D,3,FALSE))</f>
        <v>1</v>
      </c>
      <c r="E61" s="10">
        <f>IF(ISNA(+VLOOKUP($B61,Cuadro1!A:D,4,FALSE)),"",+VLOOKUP($B61,Cuadro1!A:D,4,FALSE))</f>
        <v>3</v>
      </c>
      <c r="G61" s="10">
        <f>+IF(G$2=0,C61,IF(G$2=1,C63,IF(G$2=2,C62,"X")))</f>
        <v>3</v>
      </c>
      <c r="H61" s="10">
        <f>+IF(H$2=0,D61,IF(H$2=1,D63,IF(H$2=2,D62,"X")))</f>
        <v>3</v>
      </c>
      <c r="I61" s="10">
        <f>+IF(I$2=0,E61,IF(I$2=1,E63,IF(I$2=2,E62,"X")))</f>
        <v>1</v>
      </c>
      <c r="J61" s="9" t="str">
        <f>IF(ISNA(+VLOOKUP(_xlfn.CONCAT(G61:I61),Cuadro0!E:F,2,FALSE)),"",+VLOOKUP(_xlfn.CONCAT(G61:I61),Cuadro0!E:F,2,FALSE))</f>
        <v>I</v>
      </c>
    </row>
    <row r="62" spans="1:10" x14ac:dyDescent="0.25">
      <c r="A62">
        <v>59</v>
      </c>
      <c r="B62" s="7" t="str">
        <f t="shared" si="1"/>
        <v>b</v>
      </c>
      <c r="C62" s="10">
        <f>IF(ISNA(+VLOOKUP($B62,Cuadro2!A:D,2,FALSE)),"",+VLOOKUP($B62,Cuadro2!A:D,2,FALSE))</f>
        <v>1</v>
      </c>
      <c r="D62" s="10">
        <f>IF(ISNA(+VLOOKUP($B62,Cuadro2!A:D,3,FALSE)),"",+VLOOKUP($B62,Cuadro2!A:D,3,FALSE))</f>
        <v>1</v>
      </c>
      <c r="E62" s="10">
        <f>IF(ISNA(+VLOOKUP($B62,Cuadro2!A:D,4,FALSE)),"",+VLOOKUP($B62,Cuadro2!A:D,4,FALSE))</f>
        <v>1</v>
      </c>
      <c r="F62" s="10"/>
      <c r="G62" s="10">
        <f>+IF(G$2=0,C62,IF(G$2=1,C61,IF(G$2=2,C63,"X")))</f>
        <v>1</v>
      </c>
      <c r="H62" s="10">
        <f>+IF(H$2=0,D62,IF(H$2=1,D61,IF(H$2=2,D63,"X")))</f>
        <v>1</v>
      </c>
      <c r="I62" s="10">
        <f>+IF(I$2=0,E62,IF(I$2=1,E61,IF(I$2=2,E63,"X")))</f>
        <v>3</v>
      </c>
      <c r="J62" s="9" t="str">
        <f>IF(ISNA(+VLOOKUP(_xlfn.CONCAT(G62:I62),Cuadro0!E:F,2,FALSE)),"",+VLOOKUP(_xlfn.CONCAT(G62:I62),Cuadro0!E:F,2,FALSE))</f>
        <v>S</v>
      </c>
    </row>
    <row r="63" spans="1:10" x14ac:dyDescent="0.25">
      <c r="A63">
        <v>60</v>
      </c>
      <c r="B63" s="8" t="str">
        <f t="shared" si="1"/>
        <v>r</v>
      </c>
      <c r="C63" s="3">
        <f>IF(ISNA(+VLOOKUP($B63,Cuadro3!A:D,2,FALSE)),"",+VLOOKUP($B63,Cuadro3!A:D,2,FALSE))</f>
        <v>2</v>
      </c>
      <c r="D63" s="3">
        <f>IF(ISNA(+VLOOKUP($B63,Cuadro3!A:D,3,FALSE)),"",+VLOOKUP($B63,Cuadro3!A:D,3,FALSE))</f>
        <v>3</v>
      </c>
      <c r="E63" s="3">
        <f>IF(ISNA(+VLOOKUP($B63,Cuadro3!A:D,4,FALSE)),"",+VLOOKUP($B63,Cuadro3!A:D,4,FALSE))</f>
        <v>3</v>
      </c>
      <c r="F63" s="5"/>
      <c r="G63" s="3">
        <f>+IF(G$2=0,C63,IF(G$2=1,C62,IF(G$2=2,C61,"X")))</f>
        <v>2</v>
      </c>
      <c r="H63" s="3">
        <f>+IF(H$2=0,D63,IF(H$2=1,D62,IF(H$2=2,D61,"X")))</f>
        <v>1</v>
      </c>
      <c r="I63" s="3">
        <f>+IF(I$2=0,E63,IF(I$2=1,E62,IF(I$2=2,E61,"X")))</f>
        <v>3</v>
      </c>
      <c r="J63" s="9" t="str">
        <f>IF(ISNA(+VLOOKUP(_xlfn.CONCAT(G63:I63),Cuadro0!E:F,2,FALSE)),"",+VLOOKUP(_xlfn.CONCAT(G63:I63),Cuadro0!E:F,2,FALSE))</f>
        <v>T</v>
      </c>
    </row>
    <row r="64" spans="1:10" x14ac:dyDescent="0.25">
      <c r="A64">
        <v>61</v>
      </c>
      <c r="B64" s="6" t="str">
        <f t="shared" si="1"/>
        <v>s</v>
      </c>
      <c r="C64" s="10">
        <f>IF(ISNA(+VLOOKUP($B64,Cuadro1!A:D,2,FALSE)),"",+VLOOKUP($B64,Cuadro1!A:D,2,FALSE))</f>
        <v>1</v>
      </c>
      <c r="D64" s="10">
        <f>IF(ISNA(+VLOOKUP($B64,Cuadro1!A:D,3,FALSE)),"",+VLOOKUP($B64,Cuadro1!A:D,3,FALSE))</f>
        <v>2</v>
      </c>
      <c r="E64" s="10">
        <f>IF(ISNA(+VLOOKUP($B64,Cuadro1!A:D,4,FALSE)),"",+VLOOKUP($B64,Cuadro1!A:D,4,FALSE))</f>
        <v>3</v>
      </c>
      <c r="G64" s="10">
        <f>+IF(G$2=0,C64,IF(G$2=1,C66,IF(G$2=2,C65,"X")))</f>
        <v>1</v>
      </c>
      <c r="H64" s="10">
        <f>+IF(H$2=0,D64,IF(H$2=1,D66,IF(H$2=2,D65,"X")))</f>
        <v>3</v>
      </c>
      <c r="I64" s="10">
        <f>+IF(I$2=0,E64,IF(I$2=1,E66,IF(I$2=2,E65,"X")))</f>
        <v>3</v>
      </c>
      <c r="J64" s="9" t="str">
        <f>IF(ISNA(+VLOOKUP(_xlfn.CONCAT(G64:I64),Cuadro0!E:F,2,FALSE)),"",+VLOOKUP(_xlfn.CONCAT(G64:I64),Cuadro0!E:F,2,FALSE))</f>
        <v>Y</v>
      </c>
    </row>
    <row r="65" spans="1:10" x14ac:dyDescent="0.25">
      <c r="A65">
        <v>62</v>
      </c>
      <c r="B65" s="7" t="str">
        <f t="shared" si="1"/>
        <v>x</v>
      </c>
      <c r="C65" s="10">
        <f>IF(ISNA(+VLOOKUP($B65,Cuadro2!A:D,2,FALSE)),"",+VLOOKUP($B65,Cuadro2!A:D,2,FALSE))</f>
        <v>3</v>
      </c>
      <c r="D65" s="10">
        <f>IF(ISNA(+VLOOKUP($B65,Cuadro2!A:D,3,FALSE)),"",+VLOOKUP($B65,Cuadro2!A:D,3,FALSE))</f>
        <v>1</v>
      </c>
      <c r="E65" s="10">
        <f>IF(ISNA(+VLOOKUP($B65,Cuadro2!A:D,4,FALSE)),"",+VLOOKUP($B65,Cuadro2!A:D,4,FALSE))</f>
        <v>3</v>
      </c>
      <c r="F65" s="10"/>
      <c r="G65" s="10">
        <f>+IF(G$2=0,C65,IF(G$2=1,C64,IF(G$2=2,C66,"X")))</f>
        <v>3</v>
      </c>
      <c r="H65" s="10">
        <f>+IF(H$2=0,D65,IF(H$2=1,D64,IF(H$2=2,D66,"X")))</f>
        <v>2</v>
      </c>
      <c r="I65" s="10">
        <f>+IF(I$2=0,E65,IF(I$2=1,E64,IF(I$2=2,E66,"X")))</f>
        <v>2</v>
      </c>
      <c r="J65" s="9" t="str">
        <f>IF(ISNA(+VLOOKUP(_xlfn.CONCAT(G65:I65),Cuadro0!E:F,2,FALSE)),"",+VLOOKUP(_xlfn.CONCAT(G65:I65),Cuadro0!E:F,2,FALSE))</f>
        <v>O</v>
      </c>
    </row>
    <row r="66" spans="1:10" x14ac:dyDescent="0.25">
      <c r="A66">
        <v>63</v>
      </c>
      <c r="B66" s="8" t="str">
        <f t="shared" si="1"/>
        <v>z</v>
      </c>
      <c r="C66" s="3">
        <f>IF(ISNA(+VLOOKUP($B66,Cuadro3!A:D,2,FALSE)),"",+VLOOKUP($B66,Cuadro3!A:D,2,FALSE))</f>
        <v>3</v>
      </c>
      <c r="D66" s="3">
        <f>IF(ISNA(+VLOOKUP($B66,Cuadro3!A:D,3,FALSE)),"",+VLOOKUP($B66,Cuadro3!A:D,3,FALSE))</f>
        <v>3</v>
      </c>
      <c r="E66" s="3">
        <f>IF(ISNA(+VLOOKUP($B66,Cuadro3!A:D,4,FALSE)),"",+VLOOKUP($B66,Cuadro3!A:D,4,FALSE))</f>
        <v>2</v>
      </c>
      <c r="F66" s="5"/>
      <c r="G66" s="3">
        <f>+IF(G$2=0,C66,IF(G$2=1,C65,IF(G$2=2,C64,"X")))</f>
        <v>3</v>
      </c>
      <c r="H66" s="3">
        <f>+IF(H$2=0,D66,IF(H$2=1,D65,IF(H$2=2,D64,"X")))</f>
        <v>1</v>
      </c>
      <c r="I66" s="3">
        <f>+IF(I$2=0,E66,IF(I$2=1,E65,IF(I$2=2,E64,"X")))</f>
        <v>3</v>
      </c>
      <c r="J66" s="9" t="str">
        <f>IF(ISNA(+VLOOKUP(_xlfn.CONCAT(G66:I66),Cuadro0!E:F,2,FALSE)),"",+VLOOKUP(_xlfn.CONCAT(G66:I66),Cuadro0!E:F,2,FALSE))</f>
        <v>U</v>
      </c>
    </row>
    <row r="67" spans="1:10" x14ac:dyDescent="0.25">
      <c r="A67">
        <v>64</v>
      </c>
      <c r="B67" s="6" t="str">
        <f t="shared" si="1"/>
        <v/>
      </c>
      <c r="C67" s="10" t="str">
        <f>IF(ISNA(+VLOOKUP($B67,Cuadro1!A:D,2,FALSE)),"",+VLOOKUP($B67,Cuadro1!A:D,2,FALSE))</f>
        <v/>
      </c>
      <c r="D67" s="10" t="str">
        <f>IF(ISNA(+VLOOKUP($B67,Cuadro1!A:D,3,FALSE)),"",+VLOOKUP($B67,Cuadro1!A:D,3,FALSE))</f>
        <v/>
      </c>
      <c r="E67" s="10" t="str">
        <f>IF(ISNA(+VLOOKUP($B67,Cuadro1!A:D,4,FALSE)),"",+VLOOKUP($B67,Cuadro1!A:D,4,FALSE))</f>
        <v/>
      </c>
      <c r="G67" s="10" t="str">
        <f>+IF(G$2=0,C67,IF(G$2=1,C69,IF(G$2=2,C68,"X")))</f>
        <v/>
      </c>
      <c r="H67" s="10" t="str">
        <f>+IF(H$2=0,D67,IF(H$2=1,D69,IF(H$2=2,D68,"X")))</f>
        <v/>
      </c>
      <c r="I67" s="10" t="str">
        <f>+IF(I$2=0,E67,IF(I$2=1,E69,IF(I$2=2,E68,"X")))</f>
        <v/>
      </c>
      <c r="J67" s="9" t="str">
        <f>IF(ISNA(+VLOOKUP(_xlfn.CONCAT(G67:I67),Cuadro0!E:F,2,FALSE)),"",+VLOOKUP(_xlfn.CONCAT(G67:I67),Cuadro0!E:F,2,FALSE))</f>
        <v/>
      </c>
    </row>
    <row r="68" spans="1:10" x14ac:dyDescent="0.25">
      <c r="A68">
        <v>65</v>
      </c>
      <c r="B68" s="7" t="str">
        <f t="shared" ref="B68:B99" si="2">+MID($N$1,A68,1)</f>
        <v/>
      </c>
      <c r="C68" s="10" t="str">
        <f>IF(ISNA(+VLOOKUP($B68,Cuadro2!A:D,2,FALSE)),"",+VLOOKUP($B68,Cuadro2!A:D,2,FALSE))</f>
        <v/>
      </c>
      <c r="D68" s="10" t="str">
        <f>IF(ISNA(+VLOOKUP($B68,Cuadro2!A:D,3,FALSE)),"",+VLOOKUP($B68,Cuadro2!A:D,3,FALSE))</f>
        <v/>
      </c>
      <c r="E68" s="10" t="str">
        <f>IF(ISNA(+VLOOKUP($B68,Cuadro2!A:D,4,FALSE)),"",+VLOOKUP($B68,Cuadro2!A:D,4,FALSE))</f>
        <v/>
      </c>
      <c r="F68" s="10"/>
      <c r="G68" s="10" t="str">
        <f>+IF(G$2=0,C68,IF(G$2=1,C67,IF(G$2=2,C69,"X")))</f>
        <v/>
      </c>
      <c r="H68" s="10" t="str">
        <f>+IF(H$2=0,D68,IF(H$2=1,D67,IF(H$2=2,D69,"X")))</f>
        <v/>
      </c>
      <c r="I68" s="10" t="str">
        <f>+IF(I$2=0,E68,IF(I$2=1,E67,IF(I$2=2,E69,"X")))</f>
        <v/>
      </c>
      <c r="J68" s="9" t="str">
        <f>IF(ISNA(+VLOOKUP(_xlfn.CONCAT(G68:I68),Cuadro0!E:F,2,FALSE)),"",+VLOOKUP(_xlfn.CONCAT(G68:I68),Cuadro0!E:F,2,FALSE))</f>
        <v/>
      </c>
    </row>
    <row r="69" spans="1:10" x14ac:dyDescent="0.25">
      <c r="A69">
        <v>66</v>
      </c>
      <c r="B69" s="8" t="str">
        <f t="shared" si="2"/>
        <v/>
      </c>
      <c r="C69" s="3" t="str">
        <f>IF(ISNA(+VLOOKUP($B69,Cuadro3!A:D,2,FALSE)),"",+VLOOKUP($B69,Cuadro3!A:D,2,FALSE))</f>
        <v/>
      </c>
      <c r="D69" s="3" t="str">
        <f>IF(ISNA(+VLOOKUP($B69,Cuadro3!A:D,3,FALSE)),"",+VLOOKUP($B69,Cuadro3!A:D,3,FALSE))</f>
        <v/>
      </c>
      <c r="E69" s="3" t="str">
        <f>IF(ISNA(+VLOOKUP($B69,Cuadro3!A:D,4,FALSE)),"",+VLOOKUP($B69,Cuadro3!A:D,4,FALSE))</f>
        <v/>
      </c>
      <c r="F69" s="5"/>
      <c r="G69" s="3" t="str">
        <f>+IF(G$2=0,C69,IF(G$2=1,C68,IF(G$2=2,C67,"X")))</f>
        <v/>
      </c>
      <c r="H69" s="3" t="str">
        <f>+IF(H$2=0,D69,IF(H$2=1,D68,IF(H$2=2,D67,"X")))</f>
        <v/>
      </c>
      <c r="I69" s="3" t="str">
        <f>+IF(I$2=0,E69,IF(I$2=1,E68,IF(I$2=2,E67,"X")))</f>
        <v/>
      </c>
      <c r="J69" s="9" t="str">
        <f>IF(ISNA(+VLOOKUP(_xlfn.CONCAT(G69:I69),Cuadro0!E:F,2,FALSE)),"",+VLOOKUP(_xlfn.CONCAT(G69:I69),Cuadro0!E:F,2,FALSE))</f>
        <v/>
      </c>
    </row>
    <row r="70" spans="1:10" x14ac:dyDescent="0.25">
      <c r="A70">
        <v>67</v>
      </c>
      <c r="B70" s="6" t="str">
        <f t="shared" si="2"/>
        <v/>
      </c>
      <c r="C70" s="10" t="str">
        <f>IF(ISNA(+VLOOKUP($B70,Cuadro1!A:D,2,FALSE)),"",+VLOOKUP($B70,Cuadro1!A:D,2,FALSE))</f>
        <v/>
      </c>
      <c r="D70" s="10" t="str">
        <f>IF(ISNA(+VLOOKUP($B70,Cuadro1!A:D,3,FALSE)),"",+VLOOKUP($B70,Cuadro1!A:D,3,FALSE))</f>
        <v/>
      </c>
      <c r="E70" s="10" t="str">
        <f>IF(ISNA(+VLOOKUP($B70,Cuadro1!A:D,4,FALSE)),"",+VLOOKUP($B70,Cuadro1!A:D,4,FALSE))</f>
        <v/>
      </c>
      <c r="G70" s="10" t="str">
        <f>+IF(G$2=0,C70,IF(G$2=1,C72,IF(G$2=2,C71,"X")))</f>
        <v/>
      </c>
      <c r="H70" s="10" t="str">
        <f>+IF(H$2=0,D70,IF(H$2=1,D72,IF(H$2=2,D71,"X")))</f>
        <v/>
      </c>
      <c r="I70" s="10" t="str">
        <f>+IF(I$2=0,E70,IF(I$2=1,E72,IF(I$2=2,E71,"X")))</f>
        <v/>
      </c>
      <c r="J70" s="9" t="str">
        <f>IF(ISNA(+VLOOKUP(_xlfn.CONCAT(G70:I70),Cuadro0!E:F,2,FALSE)),"",+VLOOKUP(_xlfn.CONCAT(G70:I70),Cuadro0!E:F,2,FALSE))</f>
        <v/>
      </c>
    </row>
    <row r="71" spans="1:10" x14ac:dyDescent="0.25">
      <c r="A71">
        <v>68</v>
      </c>
      <c r="B71" s="7" t="str">
        <f t="shared" si="2"/>
        <v/>
      </c>
      <c r="C71" s="10" t="str">
        <f>IF(ISNA(+VLOOKUP($B71,Cuadro2!A:D,2,FALSE)),"",+VLOOKUP($B71,Cuadro2!A:D,2,FALSE))</f>
        <v/>
      </c>
      <c r="D71" s="10" t="str">
        <f>IF(ISNA(+VLOOKUP($B71,Cuadro2!A:D,3,FALSE)),"",+VLOOKUP($B71,Cuadro2!A:D,3,FALSE))</f>
        <v/>
      </c>
      <c r="E71" s="10" t="str">
        <f>IF(ISNA(+VLOOKUP($B71,Cuadro2!A:D,4,FALSE)),"",+VLOOKUP($B71,Cuadro2!A:D,4,FALSE))</f>
        <v/>
      </c>
      <c r="F71" s="10"/>
      <c r="G71" s="10" t="str">
        <f>+IF(G$2=0,C71,IF(G$2=1,C70,IF(G$2=2,C72,"X")))</f>
        <v/>
      </c>
      <c r="H71" s="10" t="str">
        <f>+IF(H$2=0,D71,IF(H$2=1,D70,IF(H$2=2,D72,"X")))</f>
        <v/>
      </c>
      <c r="I71" s="10" t="str">
        <f>+IF(I$2=0,E71,IF(I$2=1,E70,IF(I$2=2,E72,"X")))</f>
        <v/>
      </c>
      <c r="J71" s="9" t="str">
        <f>IF(ISNA(+VLOOKUP(_xlfn.CONCAT(G71:I71),Cuadro0!E:F,2,FALSE)),"",+VLOOKUP(_xlfn.CONCAT(G71:I71),Cuadro0!E:F,2,FALSE))</f>
        <v/>
      </c>
    </row>
    <row r="72" spans="1:10" x14ac:dyDescent="0.25">
      <c r="A72">
        <v>69</v>
      </c>
      <c r="B72" s="8" t="str">
        <f t="shared" si="2"/>
        <v/>
      </c>
      <c r="C72" s="3" t="str">
        <f>IF(ISNA(+VLOOKUP($B72,Cuadro3!A:D,2,FALSE)),"",+VLOOKUP($B72,Cuadro3!A:D,2,FALSE))</f>
        <v/>
      </c>
      <c r="D72" s="3" t="str">
        <f>IF(ISNA(+VLOOKUP($B72,Cuadro3!A:D,3,FALSE)),"",+VLOOKUP($B72,Cuadro3!A:D,3,FALSE))</f>
        <v/>
      </c>
      <c r="E72" s="3" t="str">
        <f>IF(ISNA(+VLOOKUP($B72,Cuadro3!A:D,4,FALSE)),"",+VLOOKUP($B72,Cuadro3!A:D,4,FALSE))</f>
        <v/>
      </c>
      <c r="F72" s="5"/>
      <c r="G72" s="3" t="str">
        <f>+IF(G$2=0,C72,IF(G$2=1,C71,IF(G$2=2,C70,"X")))</f>
        <v/>
      </c>
      <c r="H72" s="3" t="str">
        <f>+IF(H$2=0,D72,IF(H$2=1,D71,IF(H$2=2,D70,"X")))</f>
        <v/>
      </c>
      <c r="I72" s="3" t="str">
        <f>+IF(I$2=0,E72,IF(I$2=1,E71,IF(I$2=2,E70,"X")))</f>
        <v/>
      </c>
      <c r="J72" s="9" t="str">
        <f>IF(ISNA(+VLOOKUP(_xlfn.CONCAT(G72:I72),Cuadro0!E:F,2,FALSE)),"",+VLOOKUP(_xlfn.CONCAT(G72:I72),Cuadro0!E:F,2,FALSE))</f>
        <v/>
      </c>
    </row>
    <row r="73" spans="1:10" x14ac:dyDescent="0.25">
      <c r="A73">
        <v>70</v>
      </c>
      <c r="B73" s="6" t="str">
        <f t="shared" si="2"/>
        <v/>
      </c>
      <c r="C73" s="10" t="str">
        <f>IF(ISNA(+VLOOKUP($B73,Cuadro1!A:D,2,FALSE)),"",+VLOOKUP($B73,Cuadro1!A:D,2,FALSE))</f>
        <v/>
      </c>
      <c r="D73" s="10" t="str">
        <f>IF(ISNA(+VLOOKUP($B73,Cuadro1!A:D,3,FALSE)),"",+VLOOKUP($B73,Cuadro1!A:D,3,FALSE))</f>
        <v/>
      </c>
      <c r="E73" s="10" t="str">
        <f>IF(ISNA(+VLOOKUP($B73,Cuadro1!A:D,4,FALSE)),"",+VLOOKUP($B73,Cuadro1!A:D,4,FALSE))</f>
        <v/>
      </c>
      <c r="G73" s="10" t="str">
        <f>+IF(G$2=0,C73,IF(G$2=1,C75,IF(G$2=2,C74,"X")))</f>
        <v/>
      </c>
      <c r="H73" s="10" t="str">
        <f>+IF(H$2=0,D73,IF(H$2=1,D75,IF(H$2=2,D74,"X")))</f>
        <v/>
      </c>
      <c r="I73" s="10" t="str">
        <f>+IF(I$2=0,E73,IF(I$2=1,E75,IF(I$2=2,E74,"X")))</f>
        <v/>
      </c>
      <c r="J73" s="9" t="str">
        <f>IF(ISNA(+VLOOKUP(_xlfn.CONCAT(G73:I73),Cuadro0!E:F,2,FALSE)),"",+VLOOKUP(_xlfn.CONCAT(G73:I73),Cuadro0!E:F,2,FALSE))</f>
        <v/>
      </c>
    </row>
    <row r="74" spans="1:10" x14ac:dyDescent="0.25">
      <c r="A74">
        <v>71</v>
      </c>
      <c r="B74" s="7" t="str">
        <f t="shared" si="2"/>
        <v/>
      </c>
      <c r="C74" s="10" t="str">
        <f>IF(ISNA(+VLOOKUP($B74,Cuadro2!A:D,2,FALSE)),"",+VLOOKUP($B74,Cuadro2!A:D,2,FALSE))</f>
        <v/>
      </c>
      <c r="D74" s="10" t="str">
        <f>IF(ISNA(+VLOOKUP($B74,Cuadro2!A:D,3,FALSE)),"",+VLOOKUP($B74,Cuadro2!A:D,3,FALSE))</f>
        <v/>
      </c>
      <c r="E74" s="10" t="str">
        <f>IF(ISNA(+VLOOKUP($B74,Cuadro2!A:D,4,FALSE)),"",+VLOOKUP($B74,Cuadro2!A:D,4,FALSE))</f>
        <v/>
      </c>
      <c r="F74" s="10"/>
      <c r="G74" s="10" t="str">
        <f>+IF(G$2=0,C74,IF(G$2=1,C73,IF(G$2=2,C75,"X")))</f>
        <v/>
      </c>
      <c r="H74" s="10" t="str">
        <f>+IF(H$2=0,D74,IF(H$2=1,D73,IF(H$2=2,D75,"X")))</f>
        <v/>
      </c>
      <c r="I74" s="10" t="str">
        <f>+IF(I$2=0,E74,IF(I$2=1,E73,IF(I$2=2,E75,"X")))</f>
        <v/>
      </c>
      <c r="J74" s="9" t="str">
        <f>IF(ISNA(+VLOOKUP(_xlfn.CONCAT(G74:I74),Cuadro0!E:F,2,FALSE)),"",+VLOOKUP(_xlfn.CONCAT(G74:I74),Cuadro0!E:F,2,FALSE))</f>
        <v/>
      </c>
    </row>
    <row r="75" spans="1:10" x14ac:dyDescent="0.25">
      <c r="A75">
        <v>72</v>
      </c>
      <c r="B75" s="8" t="str">
        <f t="shared" si="2"/>
        <v/>
      </c>
      <c r="C75" s="3" t="str">
        <f>IF(ISNA(+VLOOKUP($B75,Cuadro3!A:D,2,FALSE)),"",+VLOOKUP($B75,Cuadro3!A:D,2,FALSE))</f>
        <v/>
      </c>
      <c r="D75" s="3" t="str">
        <f>IF(ISNA(+VLOOKUP($B75,Cuadro3!A:D,3,FALSE)),"",+VLOOKUP($B75,Cuadro3!A:D,3,FALSE))</f>
        <v/>
      </c>
      <c r="E75" s="3" t="str">
        <f>IF(ISNA(+VLOOKUP($B75,Cuadro3!A:D,4,FALSE)),"",+VLOOKUP($B75,Cuadro3!A:D,4,FALSE))</f>
        <v/>
      </c>
      <c r="F75" s="5"/>
      <c r="G75" s="3" t="str">
        <f>+IF(G$2=0,C75,IF(G$2=1,C74,IF(G$2=2,C73,"X")))</f>
        <v/>
      </c>
      <c r="H75" s="3" t="str">
        <f>+IF(H$2=0,D75,IF(H$2=1,D74,IF(H$2=2,D73,"X")))</f>
        <v/>
      </c>
      <c r="I75" s="3" t="str">
        <f>+IF(I$2=0,E75,IF(I$2=1,E74,IF(I$2=2,E73,"X")))</f>
        <v/>
      </c>
      <c r="J75" s="9" t="str">
        <f>IF(ISNA(+VLOOKUP(_xlfn.CONCAT(G75:I75),Cuadro0!E:F,2,FALSE)),"",+VLOOKUP(_xlfn.CONCAT(G75:I75),Cuadro0!E:F,2,FALSE))</f>
        <v/>
      </c>
    </row>
    <row r="76" spans="1:10" x14ac:dyDescent="0.25">
      <c r="A76">
        <v>73</v>
      </c>
      <c r="B76" s="6" t="str">
        <f t="shared" si="2"/>
        <v/>
      </c>
      <c r="C76" s="10" t="str">
        <f>IF(ISNA(+VLOOKUP($B76,Cuadro1!A:D,2,FALSE)),"",+VLOOKUP($B76,Cuadro1!A:D,2,FALSE))</f>
        <v/>
      </c>
      <c r="D76" s="10" t="str">
        <f>IF(ISNA(+VLOOKUP($B76,Cuadro1!A:D,3,FALSE)),"",+VLOOKUP($B76,Cuadro1!A:D,3,FALSE))</f>
        <v/>
      </c>
      <c r="E76" s="10" t="str">
        <f>IF(ISNA(+VLOOKUP($B76,Cuadro1!A:D,4,FALSE)),"",+VLOOKUP($B76,Cuadro1!A:D,4,FALSE))</f>
        <v/>
      </c>
      <c r="G76" s="10" t="str">
        <f>+IF(G$2=0,C76,IF(G$2=1,C78,IF(G$2=2,C77,"X")))</f>
        <v/>
      </c>
      <c r="H76" s="10" t="str">
        <f>+IF(H$2=0,D76,IF(H$2=1,D78,IF(H$2=2,D77,"X")))</f>
        <v/>
      </c>
      <c r="I76" s="10" t="str">
        <f>+IF(I$2=0,E76,IF(I$2=1,E78,IF(I$2=2,E77,"X")))</f>
        <v/>
      </c>
      <c r="J76" s="9" t="str">
        <f>IF(ISNA(+VLOOKUP(_xlfn.CONCAT(G76:I76),Cuadro0!E:F,2,FALSE)),"",+VLOOKUP(_xlfn.CONCAT(G76:I76),Cuadro0!E:F,2,FALSE))</f>
        <v/>
      </c>
    </row>
    <row r="77" spans="1:10" x14ac:dyDescent="0.25">
      <c r="A77">
        <v>74</v>
      </c>
      <c r="B77" s="7" t="str">
        <f t="shared" si="2"/>
        <v/>
      </c>
      <c r="C77" s="10" t="str">
        <f>IF(ISNA(+VLOOKUP($B77,Cuadro2!A:D,2,FALSE)),"",+VLOOKUP($B77,Cuadro2!A:D,2,FALSE))</f>
        <v/>
      </c>
      <c r="D77" s="10" t="str">
        <f>IF(ISNA(+VLOOKUP($B77,Cuadro2!A:D,3,FALSE)),"",+VLOOKUP($B77,Cuadro2!A:D,3,FALSE))</f>
        <v/>
      </c>
      <c r="E77" s="10" t="str">
        <f>IF(ISNA(+VLOOKUP($B77,Cuadro2!A:D,4,FALSE)),"",+VLOOKUP($B77,Cuadro2!A:D,4,FALSE))</f>
        <v/>
      </c>
      <c r="F77" s="10"/>
      <c r="G77" s="10" t="str">
        <f>+IF(G$2=0,C77,IF(G$2=1,C76,IF(G$2=2,C78,"X")))</f>
        <v/>
      </c>
      <c r="H77" s="10" t="str">
        <f>+IF(H$2=0,D77,IF(H$2=1,D76,IF(H$2=2,D78,"X")))</f>
        <v/>
      </c>
      <c r="I77" s="10" t="str">
        <f>+IF(I$2=0,E77,IF(I$2=1,E76,IF(I$2=2,E78,"X")))</f>
        <v/>
      </c>
      <c r="J77" s="9" t="str">
        <f>IF(ISNA(+VLOOKUP(_xlfn.CONCAT(G77:I77),Cuadro0!E:F,2,FALSE)),"",+VLOOKUP(_xlfn.CONCAT(G77:I77),Cuadro0!E:F,2,FALSE))</f>
        <v/>
      </c>
    </row>
    <row r="78" spans="1:10" x14ac:dyDescent="0.25">
      <c r="A78">
        <v>75</v>
      </c>
      <c r="B78" s="8" t="str">
        <f t="shared" si="2"/>
        <v/>
      </c>
      <c r="C78" s="3" t="str">
        <f>IF(ISNA(+VLOOKUP($B78,Cuadro3!A:D,2,FALSE)),"",+VLOOKUP($B78,Cuadro3!A:D,2,FALSE))</f>
        <v/>
      </c>
      <c r="D78" s="3" t="str">
        <f>IF(ISNA(+VLOOKUP($B78,Cuadro3!A:D,3,FALSE)),"",+VLOOKUP($B78,Cuadro3!A:D,3,FALSE))</f>
        <v/>
      </c>
      <c r="E78" s="3" t="str">
        <f>IF(ISNA(+VLOOKUP($B78,Cuadro3!A:D,4,FALSE)),"",+VLOOKUP($B78,Cuadro3!A:D,4,FALSE))</f>
        <v/>
      </c>
      <c r="F78" s="5"/>
      <c r="G78" s="3" t="str">
        <f>+IF(G$2=0,C78,IF(G$2=1,C77,IF(G$2=2,C76,"X")))</f>
        <v/>
      </c>
      <c r="H78" s="3" t="str">
        <f>+IF(H$2=0,D78,IF(H$2=1,D77,IF(H$2=2,D76,"X")))</f>
        <v/>
      </c>
      <c r="I78" s="3" t="str">
        <f>+IF(I$2=0,E78,IF(I$2=1,E77,IF(I$2=2,E76,"X")))</f>
        <v/>
      </c>
      <c r="J78" s="9" t="str">
        <f>IF(ISNA(+VLOOKUP(_xlfn.CONCAT(G78:I78),Cuadro0!E:F,2,FALSE)),"",+VLOOKUP(_xlfn.CONCAT(G78:I78),Cuadro0!E:F,2,FALSE))</f>
        <v/>
      </c>
    </row>
    <row r="79" spans="1:10" x14ac:dyDescent="0.25">
      <c r="A79">
        <v>76</v>
      </c>
      <c r="B79" s="6" t="str">
        <f t="shared" si="2"/>
        <v/>
      </c>
      <c r="C79" s="10" t="str">
        <f>IF(ISNA(+VLOOKUP($B79,Cuadro1!A:D,2,FALSE)),"",+VLOOKUP($B79,Cuadro1!A:D,2,FALSE))</f>
        <v/>
      </c>
      <c r="D79" s="10" t="str">
        <f>IF(ISNA(+VLOOKUP($B79,Cuadro1!A:D,3,FALSE)),"",+VLOOKUP($B79,Cuadro1!A:D,3,FALSE))</f>
        <v/>
      </c>
      <c r="E79" s="10" t="str">
        <f>IF(ISNA(+VLOOKUP($B79,Cuadro1!A:D,4,FALSE)),"",+VLOOKUP($B79,Cuadro1!A:D,4,FALSE))</f>
        <v/>
      </c>
      <c r="G79" s="10" t="str">
        <f>+IF(G$2=0,C79,IF(G$2=1,C81,IF(G$2=2,C80,"X")))</f>
        <v/>
      </c>
      <c r="H79" s="10" t="str">
        <f>+IF(H$2=0,D79,IF(H$2=1,D81,IF(H$2=2,D80,"X")))</f>
        <v/>
      </c>
      <c r="I79" s="10" t="str">
        <f>+IF(I$2=0,E79,IF(I$2=1,E81,IF(I$2=2,E80,"X")))</f>
        <v/>
      </c>
      <c r="J79" s="9" t="str">
        <f>IF(ISNA(+VLOOKUP(_xlfn.CONCAT(G79:I79),Cuadro0!E:F,2,FALSE)),"",+VLOOKUP(_xlfn.CONCAT(G79:I79),Cuadro0!E:F,2,FALSE))</f>
        <v/>
      </c>
    </row>
    <row r="80" spans="1:10" x14ac:dyDescent="0.25">
      <c r="A80">
        <v>77</v>
      </c>
      <c r="B80" s="7" t="str">
        <f t="shared" si="2"/>
        <v/>
      </c>
      <c r="C80" s="10" t="str">
        <f>IF(ISNA(+VLOOKUP($B80,Cuadro2!A:D,2,FALSE)),"",+VLOOKUP($B80,Cuadro2!A:D,2,FALSE))</f>
        <v/>
      </c>
      <c r="D80" s="10" t="str">
        <f>IF(ISNA(+VLOOKUP($B80,Cuadro2!A:D,3,FALSE)),"",+VLOOKUP($B80,Cuadro2!A:D,3,FALSE))</f>
        <v/>
      </c>
      <c r="E80" s="10" t="str">
        <f>IF(ISNA(+VLOOKUP($B80,Cuadro2!A:D,4,FALSE)),"",+VLOOKUP($B80,Cuadro2!A:D,4,FALSE))</f>
        <v/>
      </c>
      <c r="F80" s="10"/>
      <c r="G80" s="10" t="str">
        <f>+IF(G$2=0,C80,IF(G$2=1,C79,IF(G$2=2,C81,"X")))</f>
        <v/>
      </c>
      <c r="H80" s="10" t="str">
        <f>+IF(H$2=0,D80,IF(H$2=1,D79,IF(H$2=2,D81,"X")))</f>
        <v/>
      </c>
      <c r="I80" s="10" t="str">
        <f>+IF(I$2=0,E80,IF(I$2=1,E79,IF(I$2=2,E81,"X")))</f>
        <v/>
      </c>
      <c r="J80" s="9" t="str">
        <f>IF(ISNA(+VLOOKUP(_xlfn.CONCAT(G80:I80),Cuadro0!E:F,2,FALSE)),"",+VLOOKUP(_xlfn.CONCAT(G80:I80),Cuadro0!E:F,2,FALSE))</f>
        <v/>
      </c>
    </row>
    <row r="81" spans="1:10" x14ac:dyDescent="0.25">
      <c r="A81">
        <v>78</v>
      </c>
      <c r="B81" s="8" t="str">
        <f t="shared" si="2"/>
        <v/>
      </c>
      <c r="C81" s="3" t="str">
        <f>IF(ISNA(+VLOOKUP($B81,Cuadro3!A:D,2,FALSE)),"",+VLOOKUP($B81,Cuadro3!A:D,2,FALSE))</f>
        <v/>
      </c>
      <c r="D81" s="3" t="str">
        <f>IF(ISNA(+VLOOKUP($B81,Cuadro3!A:D,3,FALSE)),"",+VLOOKUP($B81,Cuadro3!A:D,3,FALSE))</f>
        <v/>
      </c>
      <c r="E81" s="3" t="str">
        <f>IF(ISNA(+VLOOKUP($B81,Cuadro3!A:D,4,FALSE)),"",+VLOOKUP($B81,Cuadro3!A:D,4,FALSE))</f>
        <v/>
      </c>
      <c r="F81" s="5"/>
      <c r="G81" s="3" t="str">
        <f>+IF(G$2=0,C81,IF(G$2=1,C80,IF(G$2=2,C79,"X")))</f>
        <v/>
      </c>
      <c r="H81" s="3" t="str">
        <f>+IF(H$2=0,D81,IF(H$2=1,D80,IF(H$2=2,D79,"X")))</f>
        <v/>
      </c>
      <c r="I81" s="3" t="str">
        <f>+IF(I$2=0,E81,IF(I$2=1,E80,IF(I$2=2,E79,"X")))</f>
        <v/>
      </c>
      <c r="J81" s="9" t="str">
        <f>IF(ISNA(+VLOOKUP(_xlfn.CONCAT(G81:I81),Cuadro0!E:F,2,FALSE)),"",+VLOOKUP(_xlfn.CONCAT(G81:I81),Cuadro0!E:F,2,FALSE))</f>
        <v/>
      </c>
    </row>
    <row r="82" spans="1:10" x14ac:dyDescent="0.25">
      <c r="A82">
        <v>79</v>
      </c>
      <c r="B82" s="6" t="str">
        <f t="shared" si="2"/>
        <v/>
      </c>
      <c r="C82" s="10" t="str">
        <f>IF(ISNA(+VLOOKUP($B82,Cuadro1!A:D,2,FALSE)),"",+VLOOKUP($B82,Cuadro1!A:D,2,FALSE))</f>
        <v/>
      </c>
      <c r="D82" s="10" t="str">
        <f>IF(ISNA(+VLOOKUP($B82,Cuadro1!A:D,3,FALSE)),"",+VLOOKUP($B82,Cuadro1!A:D,3,FALSE))</f>
        <v/>
      </c>
      <c r="E82" s="10" t="str">
        <f>IF(ISNA(+VLOOKUP($B82,Cuadro1!A:D,4,FALSE)),"",+VLOOKUP($B82,Cuadro1!A:D,4,FALSE))</f>
        <v/>
      </c>
      <c r="G82" s="10" t="str">
        <f>+IF(G$2=0,C82,IF(G$2=1,C84,IF(G$2=2,C83,"X")))</f>
        <v/>
      </c>
      <c r="H82" s="10" t="str">
        <f>+IF(H$2=0,D82,IF(H$2=1,D84,IF(H$2=2,D83,"X")))</f>
        <v/>
      </c>
      <c r="I82" s="10" t="str">
        <f>+IF(I$2=0,E82,IF(I$2=1,E84,IF(I$2=2,E83,"X")))</f>
        <v/>
      </c>
      <c r="J82" s="9" t="str">
        <f>IF(ISNA(+VLOOKUP(_xlfn.CONCAT(G82:I82),Cuadro0!E:F,2,FALSE)),"",+VLOOKUP(_xlfn.CONCAT(G82:I82),Cuadro0!E:F,2,FALSE))</f>
        <v/>
      </c>
    </row>
    <row r="83" spans="1:10" x14ac:dyDescent="0.25">
      <c r="A83">
        <v>80</v>
      </c>
      <c r="B83" s="7" t="str">
        <f t="shared" si="2"/>
        <v/>
      </c>
      <c r="C83" s="10" t="str">
        <f>IF(ISNA(+VLOOKUP($B83,Cuadro2!A:D,2,FALSE)),"",+VLOOKUP($B83,Cuadro2!A:D,2,FALSE))</f>
        <v/>
      </c>
      <c r="D83" s="10" t="str">
        <f>IF(ISNA(+VLOOKUP($B83,Cuadro2!A:D,3,FALSE)),"",+VLOOKUP($B83,Cuadro2!A:D,3,FALSE))</f>
        <v/>
      </c>
      <c r="E83" s="10" t="str">
        <f>IF(ISNA(+VLOOKUP($B83,Cuadro2!A:D,4,FALSE)),"",+VLOOKUP($B83,Cuadro2!A:D,4,FALSE))</f>
        <v/>
      </c>
      <c r="F83" s="10"/>
      <c r="G83" s="10" t="str">
        <f>+IF(G$2=0,C83,IF(G$2=1,C82,IF(G$2=2,C84,"X")))</f>
        <v/>
      </c>
      <c r="H83" s="10" t="str">
        <f>+IF(H$2=0,D83,IF(H$2=1,D82,IF(H$2=2,D84,"X")))</f>
        <v/>
      </c>
      <c r="I83" s="10" t="str">
        <f>+IF(I$2=0,E83,IF(I$2=1,E82,IF(I$2=2,E84,"X")))</f>
        <v/>
      </c>
      <c r="J83" s="9" t="str">
        <f>IF(ISNA(+VLOOKUP(_xlfn.CONCAT(G83:I83),Cuadro0!E:F,2,FALSE)),"",+VLOOKUP(_xlfn.CONCAT(G83:I83),Cuadro0!E:F,2,FALSE))</f>
        <v/>
      </c>
    </row>
    <row r="84" spans="1:10" x14ac:dyDescent="0.25">
      <c r="A84">
        <v>81</v>
      </c>
      <c r="B84" s="8" t="str">
        <f t="shared" si="2"/>
        <v/>
      </c>
      <c r="C84" s="3" t="str">
        <f>IF(ISNA(+VLOOKUP($B84,Cuadro3!A:D,2,FALSE)),"",+VLOOKUP($B84,Cuadro3!A:D,2,FALSE))</f>
        <v/>
      </c>
      <c r="D84" s="3" t="str">
        <f>IF(ISNA(+VLOOKUP($B84,Cuadro3!A:D,3,FALSE)),"",+VLOOKUP($B84,Cuadro3!A:D,3,FALSE))</f>
        <v/>
      </c>
      <c r="E84" s="3" t="str">
        <f>IF(ISNA(+VLOOKUP($B84,Cuadro3!A:D,4,FALSE)),"",+VLOOKUP($B84,Cuadro3!A:D,4,FALSE))</f>
        <v/>
      </c>
      <c r="F84" s="5"/>
      <c r="G84" s="3" t="str">
        <f>+IF(G$2=0,C84,IF(G$2=1,C83,IF(G$2=2,C82,"X")))</f>
        <v/>
      </c>
      <c r="H84" s="3" t="str">
        <f>+IF(H$2=0,D84,IF(H$2=1,D83,IF(H$2=2,D82,"X")))</f>
        <v/>
      </c>
      <c r="I84" s="3" t="str">
        <f>+IF(I$2=0,E84,IF(I$2=1,E83,IF(I$2=2,E82,"X")))</f>
        <v/>
      </c>
      <c r="J84" s="9" t="str">
        <f>IF(ISNA(+VLOOKUP(_xlfn.CONCAT(G84:I84),Cuadro0!E:F,2,FALSE)),"",+VLOOKUP(_xlfn.CONCAT(G84:I84),Cuadro0!E:F,2,FALSE))</f>
        <v/>
      </c>
    </row>
    <row r="85" spans="1:10" x14ac:dyDescent="0.25">
      <c r="A85">
        <v>82</v>
      </c>
      <c r="B85" s="6" t="str">
        <f t="shared" si="2"/>
        <v/>
      </c>
      <c r="C85" s="10" t="str">
        <f>IF(ISNA(+VLOOKUP($B85,Cuadro1!A:D,2,FALSE)),"",+VLOOKUP($B85,Cuadro1!A:D,2,FALSE))</f>
        <v/>
      </c>
      <c r="D85" s="10" t="str">
        <f>IF(ISNA(+VLOOKUP($B85,Cuadro1!A:D,3,FALSE)),"",+VLOOKUP($B85,Cuadro1!A:D,3,FALSE))</f>
        <v/>
      </c>
      <c r="E85" s="10" t="str">
        <f>IF(ISNA(+VLOOKUP($B85,Cuadro1!A:D,4,FALSE)),"",+VLOOKUP($B85,Cuadro1!A:D,4,FALSE))</f>
        <v/>
      </c>
      <c r="G85" s="10" t="str">
        <f>+IF(G$2=0,C85,IF(G$2=1,C87,IF(G$2=2,C86,"X")))</f>
        <v/>
      </c>
      <c r="H85" s="10" t="str">
        <f>+IF(H$2=0,D85,IF(H$2=1,D87,IF(H$2=2,D86,"X")))</f>
        <v/>
      </c>
      <c r="I85" s="10" t="str">
        <f>+IF(I$2=0,E85,IF(I$2=1,E87,IF(I$2=2,E86,"X")))</f>
        <v/>
      </c>
      <c r="J85" s="9" t="str">
        <f>IF(ISNA(+VLOOKUP(_xlfn.CONCAT(G85:I85),Cuadro0!E:F,2,FALSE)),"",+VLOOKUP(_xlfn.CONCAT(G85:I85),Cuadro0!E:F,2,FALSE))</f>
        <v/>
      </c>
    </row>
    <row r="86" spans="1:10" x14ac:dyDescent="0.25">
      <c r="A86">
        <v>83</v>
      </c>
      <c r="B86" s="7" t="str">
        <f t="shared" si="2"/>
        <v/>
      </c>
      <c r="C86" s="10" t="str">
        <f>IF(ISNA(+VLOOKUP($B86,Cuadro2!A:D,2,FALSE)),"",+VLOOKUP($B86,Cuadro2!A:D,2,FALSE))</f>
        <v/>
      </c>
      <c r="D86" s="10" t="str">
        <f>IF(ISNA(+VLOOKUP($B86,Cuadro2!A:D,3,FALSE)),"",+VLOOKUP($B86,Cuadro2!A:D,3,FALSE))</f>
        <v/>
      </c>
      <c r="E86" s="10" t="str">
        <f>IF(ISNA(+VLOOKUP($B86,Cuadro2!A:D,4,FALSE)),"",+VLOOKUP($B86,Cuadro2!A:D,4,FALSE))</f>
        <v/>
      </c>
      <c r="F86" s="10"/>
      <c r="G86" s="10" t="str">
        <f>+IF(G$2=0,C86,IF(G$2=1,C85,IF(G$2=2,C87,"X")))</f>
        <v/>
      </c>
      <c r="H86" s="10" t="str">
        <f>+IF(H$2=0,D86,IF(H$2=1,D85,IF(H$2=2,D87,"X")))</f>
        <v/>
      </c>
      <c r="I86" s="10" t="str">
        <f>+IF(I$2=0,E86,IF(I$2=1,E85,IF(I$2=2,E87,"X")))</f>
        <v/>
      </c>
      <c r="J86" s="9" t="str">
        <f>IF(ISNA(+VLOOKUP(_xlfn.CONCAT(G86:I86),Cuadro0!E:F,2,FALSE)),"",+VLOOKUP(_xlfn.CONCAT(G86:I86),Cuadro0!E:F,2,FALSE))</f>
        <v/>
      </c>
    </row>
    <row r="87" spans="1:10" x14ac:dyDescent="0.25">
      <c r="A87">
        <v>84</v>
      </c>
      <c r="B87" s="8" t="str">
        <f t="shared" si="2"/>
        <v/>
      </c>
      <c r="C87" s="3" t="str">
        <f>IF(ISNA(+VLOOKUP($B87,Cuadro3!A:D,2,FALSE)),"",+VLOOKUP($B87,Cuadro3!A:D,2,FALSE))</f>
        <v/>
      </c>
      <c r="D87" s="3" t="str">
        <f>IF(ISNA(+VLOOKUP($B87,Cuadro3!A:D,3,FALSE)),"",+VLOOKUP($B87,Cuadro3!A:D,3,FALSE))</f>
        <v/>
      </c>
      <c r="E87" s="3" t="str">
        <f>IF(ISNA(+VLOOKUP($B87,Cuadro3!A:D,4,FALSE)),"",+VLOOKUP($B87,Cuadro3!A:D,4,FALSE))</f>
        <v/>
      </c>
      <c r="F87" s="5"/>
      <c r="G87" s="3" t="str">
        <f>+IF(G$2=0,C87,IF(G$2=1,C86,IF(G$2=2,C85,"X")))</f>
        <v/>
      </c>
      <c r="H87" s="3" t="str">
        <f>+IF(H$2=0,D87,IF(H$2=1,D86,IF(H$2=2,D85,"X")))</f>
        <v/>
      </c>
      <c r="I87" s="3" t="str">
        <f>+IF(I$2=0,E87,IF(I$2=1,E86,IF(I$2=2,E85,"X")))</f>
        <v/>
      </c>
      <c r="J87" s="9" t="str">
        <f>IF(ISNA(+VLOOKUP(_xlfn.CONCAT(G87:I87),Cuadro0!E:F,2,FALSE)),"",+VLOOKUP(_xlfn.CONCAT(G87:I87),Cuadro0!E:F,2,FALSE))</f>
        <v/>
      </c>
    </row>
    <row r="88" spans="1:10" x14ac:dyDescent="0.25">
      <c r="A88">
        <v>85</v>
      </c>
      <c r="B88" s="6" t="str">
        <f t="shared" si="2"/>
        <v/>
      </c>
      <c r="C88" s="10" t="str">
        <f>IF(ISNA(+VLOOKUP($B88,Cuadro1!A:D,2,FALSE)),"",+VLOOKUP($B88,Cuadro1!A:D,2,FALSE))</f>
        <v/>
      </c>
      <c r="D88" s="10" t="str">
        <f>IF(ISNA(+VLOOKUP($B88,Cuadro1!A:D,3,FALSE)),"",+VLOOKUP($B88,Cuadro1!A:D,3,FALSE))</f>
        <v/>
      </c>
      <c r="E88" s="10" t="str">
        <f>IF(ISNA(+VLOOKUP($B88,Cuadro1!A:D,4,FALSE)),"",+VLOOKUP($B88,Cuadro1!A:D,4,FALSE))</f>
        <v/>
      </c>
      <c r="G88" s="10" t="str">
        <f>+IF(G$2=0,C88,IF(G$2=1,C90,IF(G$2=2,C89,"X")))</f>
        <v/>
      </c>
      <c r="H88" s="10" t="str">
        <f>+IF(H$2=0,D88,IF(H$2=1,D90,IF(H$2=2,D89,"X")))</f>
        <v/>
      </c>
      <c r="I88" s="10" t="str">
        <f>+IF(I$2=0,E88,IF(I$2=1,E90,IF(I$2=2,E89,"X")))</f>
        <v/>
      </c>
      <c r="J88" s="9" t="str">
        <f>IF(ISNA(+VLOOKUP(_xlfn.CONCAT(G88:I88),Cuadro0!E:F,2,FALSE)),"",+VLOOKUP(_xlfn.CONCAT(G88:I88),Cuadro0!E:F,2,FALSE))</f>
        <v/>
      </c>
    </row>
    <row r="89" spans="1:10" x14ac:dyDescent="0.25">
      <c r="A89">
        <v>86</v>
      </c>
      <c r="B89" s="7" t="str">
        <f t="shared" si="2"/>
        <v/>
      </c>
      <c r="C89" s="10" t="str">
        <f>IF(ISNA(+VLOOKUP($B89,Cuadro2!A:D,2,FALSE)),"",+VLOOKUP($B89,Cuadro2!A:D,2,FALSE))</f>
        <v/>
      </c>
      <c r="D89" s="10" t="str">
        <f>IF(ISNA(+VLOOKUP($B89,Cuadro2!A:D,3,FALSE)),"",+VLOOKUP($B89,Cuadro2!A:D,3,FALSE))</f>
        <v/>
      </c>
      <c r="E89" s="10" t="str">
        <f>IF(ISNA(+VLOOKUP($B89,Cuadro2!A:D,4,FALSE)),"",+VLOOKUP($B89,Cuadro2!A:D,4,FALSE))</f>
        <v/>
      </c>
      <c r="F89" s="10"/>
      <c r="G89" s="10" t="str">
        <f>+IF(G$2=0,C89,IF(G$2=1,C88,IF(G$2=2,C90,"X")))</f>
        <v/>
      </c>
      <c r="H89" s="10" t="str">
        <f>+IF(H$2=0,D89,IF(H$2=1,D88,IF(H$2=2,D90,"X")))</f>
        <v/>
      </c>
      <c r="I89" s="10" t="str">
        <f>+IF(I$2=0,E89,IF(I$2=1,E88,IF(I$2=2,E90,"X")))</f>
        <v/>
      </c>
      <c r="J89" s="9" t="str">
        <f>IF(ISNA(+VLOOKUP(_xlfn.CONCAT(G89:I89),Cuadro0!E:F,2,FALSE)),"",+VLOOKUP(_xlfn.CONCAT(G89:I89),Cuadro0!E:F,2,FALSE))</f>
        <v/>
      </c>
    </row>
    <row r="90" spans="1:10" x14ac:dyDescent="0.25">
      <c r="A90">
        <v>87</v>
      </c>
      <c r="B90" s="8" t="str">
        <f t="shared" si="2"/>
        <v/>
      </c>
      <c r="C90" s="3" t="str">
        <f>IF(ISNA(+VLOOKUP($B90,Cuadro3!A:D,2,FALSE)),"",+VLOOKUP($B90,Cuadro3!A:D,2,FALSE))</f>
        <v/>
      </c>
      <c r="D90" s="3" t="str">
        <f>IF(ISNA(+VLOOKUP($B90,Cuadro3!A:D,3,FALSE)),"",+VLOOKUP($B90,Cuadro3!A:D,3,FALSE))</f>
        <v/>
      </c>
      <c r="E90" s="3" t="str">
        <f>IF(ISNA(+VLOOKUP($B90,Cuadro3!A:D,4,FALSE)),"",+VLOOKUP($B90,Cuadro3!A:D,4,FALSE))</f>
        <v/>
      </c>
      <c r="F90" s="5"/>
      <c r="G90" s="3" t="str">
        <f>+IF(G$2=0,C90,IF(G$2=1,C89,IF(G$2=2,C88,"X")))</f>
        <v/>
      </c>
      <c r="H90" s="3" t="str">
        <f>+IF(H$2=0,D90,IF(H$2=1,D89,IF(H$2=2,D88,"X")))</f>
        <v/>
      </c>
      <c r="I90" s="3" t="str">
        <f>+IF(I$2=0,E90,IF(I$2=1,E89,IF(I$2=2,E88,"X")))</f>
        <v/>
      </c>
      <c r="J90" s="9" t="str">
        <f>IF(ISNA(+VLOOKUP(_xlfn.CONCAT(G90:I90),Cuadro0!E:F,2,FALSE)),"",+VLOOKUP(_xlfn.CONCAT(G90:I90),Cuadro0!E:F,2,FALSE))</f>
        <v/>
      </c>
    </row>
    <row r="91" spans="1:10" x14ac:dyDescent="0.25">
      <c r="A91">
        <v>88</v>
      </c>
      <c r="B91" s="6" t="str">
        <f t="shared" si="2"/>
        <v/>
      </c>
      <c r="C91" s="10" t="str">
        <f>IF(ISNA(+VLOOKUP($B91,Cuadro1!A:D,2,FALSE)),"",+VLOOKUP($B91,Cuadro1!A:D,2,FALSE))</f>
        <v/>
      </c>
      <c r="D91" s="10" t="str">
        <f>IF(ISNA(+VLOOKUP($B91,Cuadro1!A:D,3,FALSE)),"",+VLOOKUP($B91,Cuadro1!A:D,3,FALSE))</f>
        <v/>
      </c>
      <c r="E91" s="10" t="str">
        <f>IF(ISNA(+VLOOKUP($B91,Cuadro1!A:D,4,FALSE)),"",+VLOOKUP($B91,Cuadro1!A:D,4,FALSE))</f>
        <v/>
      </c>
      <c r="G91" s="10" t="str">
        <f>+IF(G$2=0,C91,IF(G$2=1,C93,IF(G$2=2,C92,"X")))</f>
        <v/>
      </c>
      <c r="H91" s="10" t="str">
        <f>+IF(H$2=0,D91,IF(H$2=1,D93,IF(H$2=2,D92,"X")))</f>
        <v/>
      </c>
      <c r="I91" s="10" t="str">
        <f>+IF(I$2=0,E91,IF(I$2=1,E93,IF(I$2=2,E92,"X")))</f>
        <v/>
      </c>
      <c r="J91" s="9" t="str">
        <f>IF(ISNA(+VLOOKUP(_xlfn.CONCAT(G91:I91),Cuadro0!E:F,2,FALSE)),"",+VLOOKUP(_xlfn.CONCAT(G91:I91),Cuadro0!E:F,2,FALSE))</f>
        <v/>
      </c>
    </row>
    <row r="92" spans="1:10" x14ac:dyDescent="0.25">
      <c r="A92">
        <v>89</v>
      </c>
      <c r="B92" s="7" t="str">
        <f t="shared" si="2"/>
        <v/>
      </c>
      <c r="C92" s="10" t="str">
        <f>IF(ISNA(+VLOOKUP($B92,Cuadro2!A:D,2,FALSE)),"",+VLOOKUP($B92,Cuadro2!A:D,2,FALSE))</f>
        <v/>
      </c>
      <c r="D92" s="10" t="str">
        <f>IF(ISNA(+VLOOKUP($B92,Cuadro2!A:D,3,FALSE)),"",+VLOOKUP($B92,Cuadro2!A:D,3,FALSE))</f>
        <v/>
      </c>
      <c r="E92" s="10" t="str">
        <f>IF(ISNA(+VLOOKUP($B92,Cuadro2!A:D,4,FALSE)),"",+VLOOKUP($B92,Cuadro2!A:D,4,FALSE))</f>
        <v/>
      </c>
      <c r="F92" s="10"/>
      <c r="G92" s="10" t="str">
        <f>+IF(G$2=0,C92,IF(G$2=1,C91,IF(G$2=2,C93,"X")))</f>
        <v/>
      </c>
      <c r="H92" s="10" t="str">
        <f>+IF(H$2=0,D92,IF(H$2=1,D91,IF(H$2=2,D93,"X")))</f>
        <v/>
      </c>
      <c r="I92" s="10" t="str">
        <f>+IF(I$2=0,E92,IF(I$2=1,E91,IF(I$2=2,E93,"X")))</f>
        <v/>
      </c>
      <c r="J92" s="9" t="str">
        <f>IF(ISNA(+VLOOKUP(_xlfn.CONCAT(G92:I92),Cuadro0!E:F,2,FALSE)),"",+VLOOKUP(_xlfn.CONCAT(G92:I92),Cuadro0!E:F,2,FALSE))</f>
        <v/>
      </c>
    </row>
    <row r="93" spans="1:10" x14ac:dyDescent="0.25">
      <c r="A93">
        <v>90</v>
      </c>
      <c r="B93" s="8" t="str">
        <f t="shared" si="2"/>
        <v/>
      </c>
      <c r="C93" s="3" t="str">
        <f>IF(ISNA(+VLOOKUP($B93,Cuadro3!A:D,2,FALSE)),"",+VLOOKUP($B93,Cuadro3!A:D,2,FALSE))</f>
        <v/>
      </c>
      <c r="D93" s="3" t="str">
        <f>IF(ISNA(+VLOOKUP($B93,Cuadro3!A:D,3,FALSE)),"",+VLOOKUP($B93,Cuadro3!A:D,3,FALSE))</f>
        <v/>
      </c>
      <c r="E93" s="3" t="str">
        <f>IF(ISNA(+VLOOKUP($B93,Cuadro3!A:D,4,FALSE)),"",+VLOOKUP($B93,Cuadro3!A:D,4,FALSE))</f>
        <v/>
      </c>
      <c r="F93" s="5"/>
      <c r="G93" s="3" t="str">
        <f>+IF(G$2=0,C93,IF(G$2=1,C92,IF(G$2=2,C91,"X")))</f>
        <v/>
      </c>
      <c r="H93" s="3" t="str">
        <f>+IF(H$2=0,D93,IF(H$2=1,D92,IF(H$2=2,D91,"X")))</f>
        <v/>
      </c>
      <c r="I93" s="3" t="str">
        <f>+IF(I$2=0,E93,IF(I$2=1,E92,IF(I$2=2,E91,"X")))</f>
        <v/>
      </c>
      <c r="J93" s="9" t="str">
        <f>IF(ISNA(+VLOOKUP(_xlfn.CONCAT(G93:I93),Cuadro0!E:F,2,FALSE)),"",+VLOOKUP(_xlfn.CONCAT(G93:I93),Cuadro0!E:F,2,FALSE))</f>
        <v/>
      </c>
    </row>
    <row r="94" spans="1:10" x14ac:dyDescent="0.25">
      <c r="A94">
        <v>91</v>
      </c>
      <c r="B94" s="6" t="str">
        <f t="shared" si="2"/>
        <v/>
      </c>
      <c r="C94" s="10" t="str">
        <f>IF(ISNA(+VLOOKUP($B94,Cuadro1!A:D,2,FALSE)),"",+VLOOKUP($B94,Cuadro1!A:D,2,FALSE))</f>
        <v/>
      </c>
      <c r="D94" s="10" t="str">
        <f>IF(ISNA(+VLOOKUP($B94,Cuadro1!A:D,3,FALSE)),"",+VLOOKUP($B94,Cuadro1!A:D,3,FALSE))</f>
        <v/>
      </c>
      <c r="E94" s="10" t="str">
        <f>IF(ISNA(+VLOOKUP($B94,Cuadro1!A:D,4,FALSE)),"",+VLOOKUP($B94,Cuadro1!A:D,4,FALSE))</f>
        <v/>
      </c>
      <c r="G94" s="10" t="str">
        <f>+IF(G$2=0,C94,IF(G$2=1,C96,IF(G$2=2,C95,"X")))</f>
        <v/>
      </c>
      <c r="H94" s="10" t="str">
        <f>+IF(H$2=0,D94,IF(H$2=1,D96,IF(H$2=2,D95,"X")))</f>
        <v/>
      </c>
      <c r="I94" s="10" t="str">
        <f>+IF(I$2=0,E94,IF(I$2=1,E96,IF(I$2=2,E95,"X")))</f>
        <v/>
      </c>
      <c r="J94" s="9" t="str">
        <f>IF(ISNA(+VLOOKUP(_xlfn.CONCAT(G94:I94),Cuadro0!E:F,2,FALSE)),"",+VLOOKUP(_xlfn.CONCAT(G94:I94),Cuadro0!E:F,2,FALSE))</f>
        <v/>
      </c>
    </row>
    <row r="95" spans="1:10" x14ac:dyDescent="0.25">
      <c r="A95">
        <v>92</v>
      </c>
      <c r="B95" s="7" t="str">
        <f t="shared" si="2"/>
        <v/>
      </c>
      <c r="C95" s="10" t="str">
        <f>IF(ISNA(+VLOOKUP($B95,Cuadro2!A:D,2,FALSE)),"",+VLOOKUP($B95,Cuadro2!A:D,2,FALSE))</f>
        <v/>
      </c>
      <c r="D95" s="10" t="str">
        <f>IF(ISNA(+VLOOKUP($B95,Cuadro2!A:D,3,FALSE)),"",+VLOOKUP($B95,Cuadro2!A:D,3,FALSE))</f>
        <v/>
      </c>
      <c r="E95" s="10" t="str">
        <f>IF(ISNA(+VLOOKUP($B95,Cuadro2!A:D,4,FALSE)),"",+VLOOKUP($B95,Cuadro2!A:D,4,FALSE))</f>
        <v/>
      </c>
      <c r="F95" s="10"/>
      <c r="G95" s="10" t="str">
        <f>+IF(G$2=0,C95,IF(G$2=1,C94,IF(G$2=2,C96,"X")))</f>
        <v/>
      </c>
      <c r="H95" s="10" t="str">
        <f>+IF(H$2=0,D95,IF(H$2=1,D94,IF(H$2=2,D96,"X")))</f>
        <v/>
      </c>
      <c r="I95" s="10" t="str">
        <f>+IF(I$2=0,E95,IF(I$2=1,E94,IF(I$2=2,E96,"X")))</f>
        <v/>
      </c>
      <c r="J95" s="9" t="str">
        <f>IF(ISNA(+VLOOKUP(_xlfn.CONCAT(G95:I95),Cuadro0!E:F,2,FALSE)),"",+VLOOKUP(_xlfn.CONCAT(G95:I95),Cuadro0!E:F,2,FALSE))</f>
        <v/>
      </c>
    </row>
    <row r="96" spans="1:10" x14ac:dyDescent="0.25">
      <c r="A96">
        <v>93</v>
      </c>
      <c r="B96" s="8" t="str">
        <f t="shared" si="2"/>
        <v/>
      </c>
      <c r="C96" s="3" t="str">
        <f>IF(ISNA(+VLOOKUP($B96,Cuadro3!A:D,2,FALSE)),"",+VLOOKUP($B96,Cuadro3!A:D,2,FALSE))</f>
        <v/>
      </c>
      <c r="D96" s="3" t="str">
        <f>IF(ISNA(+VLOOKUP($B96,Cuadro3!A:D,3,FALSE)),"",+VLOOKUP($B96,Cuadro3!A:D,3,FALSE))</f>
        <v/>
      </c>
      <c r="E96" s="3" t="str">
        <f>IF(ISNA(+VLOOKUP($B96,Cuadro3!A:D,4,FALSE)),"",+VLOOKUP($B96,Cuadro3!A:D,4,FALSE))</f>
        <v/>
      </c>
      <c r="F96" s="5"/>
      <c r="G96" s="3" t="str">
        <f>+IF(G$2=0,C96,IF(G$2=1,C95,IF(G$2=2,C94,"X")))</f>
        <v/>
      </c>
      <c r="H96" s="3" t="str">
        <f>+IF(H$2=0,D96,IF(H$2=1,D95,IF(H$2=2,D94,"X")))</f>
        <v/>
      </c>
      <c r="I96" s="3" t="str">
        <f>+IF(I$2=0,E96,IF(I$2=1,E95,IF(I$2=2,E94,"X")))</f>
        <v/>
      </c>
      <c r="J96" s="9" t="str">
        <f>IF(ISNA(+VLOOKUP(_xlfn.CONCAT(G96:I96),Cuadro0!E:F,2,FALSE)),"",+VLOOKUP(_xlfn.CONCAT(G96:I96),Cuadro0!E:F,2,FALSE))</f>
        <v/>
      </c>
    </row>
    <row r="97" spans="1:10" x14ac:dyDescent="0.25">
      <c r="A97">
        <v>94</v>
      </c>
      <c r="B97" s="6" t="str">
        <f t="shared" si="2"/>
        <v/>
      </c>
      <c r="C97" s="10" t="str">
        <f>IF(ISNA(+VLOOKUP($B97,Cuadro1!A:D,2,FALSE)),"",+VLOOKUP($B97,Cuadro1!A:D,2,FALSE))</f>
        <v/>
      </c>
      <c r="D97" s="10" t="str">
        <f>IF(ISNA(+VLOOKUP($B97,Cuadro1!A:D,3,FALSE)),"",+VLOOKUP($B97,Cuadro1!A:D,3,FALSE))</f>
        <v/>
      </c>
      <c r="E97" s="10" t="str">
        <f>IF(ISNA(+VLOOKUP($B97,Cuadro1!A:D,4,FALSE)),"",+VLOOKUP($B97,Cuadro1!A:D,4,FALSE))</f>
        <v/>
      </c>
      <c r="G97" s="10" t="str">
        <f>+IF(G$2=0,C97,IF(G$2=1,C99,IF(G$2=2,C98,"X")))</f>
        <v/>
      </c>
      <c r="H97" s="10" t="str">
        <f>+IF(H$2=0,D97,IF(H$2=1,D99,IF(H$2=2,D98,"X")))</f>
        <v/>
      </c>
      <c r="I97" s="10" t="str">
        <f>+IF(I$2=0,E97,IF(I$2=1,E99,IF(I$2=2,E98,"X")))</f>
        <v/>
      </c>
      <c r="J97" s="9" t="str">
        <f>IF(ISNA(+VLOOKUP(_xlfn.CONCAT(G97:I97),Cuadro0!E:F,2,FALSE)),"",+VLOOKUP(_xlfn.CONCAT(G97:I97),Cuadro0!E:F,2,FALSE))</f>
        <v/>
      </c>
    </row>
    <row r="98" spans="1:10" x14ac:dyDescent="0.25">
      <c r="A98">
        <v>95</v>
      </c>
      <c r="B98" s="7" t="str">
        <f t="shared" si="2"/>
        <v/>
      </c>
      <c r="C98" s="10" t="str">
        <f>IF(ISNA(+VLOOKUP($B98,Cuadro2!A:D,2,FALSE)),"",+VLOOKUP($B98,Cuadro2!A:D,2,FALSE))</f>
        <v/>
      </c>
      <c r="D98" s="10" t="str">
        <f>IF(ISNA(+VLOOKUP($B98,Cuadro2!A:D,3,FALSE)),"",+VLOOKUP($B98,Cuadro2!A:D,3,FALSE))</f>
        <v/>
      </c>
      <c r="E98" s="10" t="str">
        <f>IF(ISNA(+VLOOKUP($B98,Cuadro2!A:D,4,FALSE)),"",+VLOOKUP($B98,Cuadro2!A:D,4,FALSE))</f>
        <v/>
      </c>
      <c r="F98" s="10"/>
      <c r="G98" s="10" t="str">
        <f>+IF(G$2=0,C98,IF(G$2=1,C97,IF(G$2=2,C99,"X")))</f>
        <v/>
      </c>
      <c r="H98" s="10" t="str">
        <f>+IF(H$2=0,D98,IF(H$2=1,D97,IF(H$2=2,D99,"X")))</f>
        <v/>
      </c>
      <c r="I98" s="10" t="str">
        <f>+IF(I$2=0,E98,IF(I$2=1,E97,IF(I$2=2,E99,"X")))</f>
        <v/>
      </c>
      <c r="J98" s="9" t="str">
        <f>IF(ISNA(+VLOOKUP(_xlfn.CONCAT(G98:I98),Cuadro0!E:F,2,FALSE)),"",+VLOOKUP(_xlfn.CONCAT(G98:I98),Cuadro0!E:F,2,FALSE))</f>
        <v/>
      </c>
    </row>
    <row r="99" spans="1:10" x14ac:dyDescent="0.25">
      <c r="A99">
        <v>96</v>
      </c>
      <c r="B99" s="8" t="str">
        <f t="shared" si="2"/>
        <v/>
      </c>
      <c r="C99" s="3" t="str">
        <f>IF(ISNA(+VLOOKUP($B99,Cuadro3!A:D,2,FALSE)),"",+VLOOKUP($B99,Cuadro3!A:D,2,FALSE))</f>
        <v/>
      </c>
      <c r="D99" s="3" t="str">
        <f>IF(ISNA(+VLOOKUP($B99,Cuadro3!A:D,3,FALSE)),"",+VLOOKUP($B99,Cuadro3!A:D,3,FALSE))</f>
        <v/>
      </c>
      <c r="E99" s="3" t="str">
        <f>IF(ISNA(+VLOOKUP($B99,Cuadro3!A:D,4,FALSE)),"",+VLOOKUP($B99,Cuadro3!A:D,4,FALSE))</f>
        <v/>
      </c>
      <c r="F99" s="5"/>
      <c r="G99" s="3" t="str">
        <f>+IF(G$2=0,C99,IF(G$2=1,C98,IF(G$2=2,C97,"X")))</f>
        <v/>
      </c>
      <c r="H99" s="3" t="str">
        <f>+IF(H$2=0,D99,IF(H$2=1,D98,IF(H$2=2,D97,"X")))</f>
        <v/>
      </c>
      <c r="I99" s="3" t="str">
        <f>+IF(I$2=0,E99,IF(I$2=1,E98,IF(I$2=2,E97,"X")))</f>
        <v/>
      </c>
      <c r="J99" s="9" t="str">
        <f>IF(ISNA(+VLOOKUP(_xlfn.CONCAT(G99:I99),Cuadro0!E:F,2,FALSE)),"",+VLOOKUP(_xlfn.CONCAT(G99:I99),Cuadro0!E:F,2,FALSE))</f>
        <v/>
      </c>
    </row>
    <row r="100" spans="1:10" x14ac:dyDescent="0.25">
      <c r="A100">
        <v>97</v>
      </c>
      <c r="B100" s="6" t="str">
        <f t="shared" ref="B100:B111" si="3">+MID($N$1,A100,1)</f>
        <v/>
      </c>
      <c r="C100" s="10" t="str">
        <f>IF(ISNA(+VLOOKUP($B100,Cuadro1!A:D,2,FALSE)),"",+VLOOKUP($B100,Cuadro1!A:D,2,FALSE))</f>
        <v/>
      </c>
      <c r="D100" s="10" t="str">
        <f>IF(ISNA(+VLOOKUP($B100,Cuadro1!A:D,3,FALSE)),"",+VLOOKUP($B100,Cuadro1!A:D,3,FALSE))</f>
        <v/>
      </c>
      <c r="E100" s="10" t="str">
        <f>IF(ISNA(+VLOOKUP($B100,Cuadro1!A:D,4,FALSE)),"",+VLOOKUP($B100,Cuadro1!A:D,4,FALSE))</f>
        <v/>
      </c>
      <c r="G100" s="10" t="str">
        <f>+IF(G$2=0,C100,IF(G$2=1,C102,IF(G$2=2,C101,"X")))</f>
        <v/>
      </c>
      <c r="H100" s="10" t="str">
        <f>+IF(H$2=0,D100,IF(H$2=1,D102,IF(H$2=2,D101,"X")))</f>
        <v/>
      </c>
      <c r="I100" s="10" t="str">
        <f>+IF(I$2=0,E100,IF(I$2=1,E102,IF(I$2=2,E101,"X")))</f>
        <v/>
      </c>
      <c r="J100" s="9" t="str">
        <f>IF(ISNA(+VLOOKUP(_xlfn.CONCAT(G100:I100),Cuadro0!E:F,2,FALSE)),"",+VLOOKUP(_xlfn.CONCAT(G100:I100),Cuadro0!E:F,2,FALSE))</f>
        <v/>
      </c>
    </row>
    <row r="101" spans="1:10" x14ac:dyDescent="0.25">
      <c r="A101">
        <v>98</v>
      </c>
      <c r="B101" s="7" t="str">
        <f t="shared" si="3"/>
        <v/>
      </c>
      <c r="C101" s="10" t="str">
        <f>IF(ISNA(+VLOOKUP($B101,Cuadro2!A:D,2,FALSE)),"",+VLOOKUP($B101,Cuadro2!A:D,2,FALSE))</f>
        <v/>
      </c>
      <c r="D101" s="10" t="str">
        <f>IF(ISNA(+VLOOKUP($B101,Cuadro2!A:D,3,FALSE)),"",+VLOOKUP($B101,Cuadro2!A:D,3,FALSE))</f>
        <v/>
      </c>
      <c r="E101" s="10" t="str">
        <f>IF(ISNA(+VLOOKUP($B101,Cuadro2!A:D,4,FALSE)),"",+VLOOKUP($B101,Cuadro2!A:D,4,FALSE))</f>
        <v/>
      </c>
      <c r="F101" s="10"/>
      <c r="G101" s="10" t="str">
        <f>+IF(G$2=0,C101,IF(G$2=1,C100,IF(G$2=2,C102,"X")))</f>
        <v/>
      </c>
      <c r="H101" s="10" t="str">
        <f>+IF(H$2=0,D101,IF(H$2=1,D100,IF(H$2=2,D102,"X")))</f>
        <v/>
      </c>
      <c r="I101" s="10" t="str">
        <f>+IF(I$2=0,E101,IF(I$2=1,E100,IF(I$2=2,E102,"X")))</f>
        <v/>
      </c>
      <c r="J101" s="9" t="str">
        <f>IF(ISNA(+VLOOKUP(_xlfn.CONCAT(G101:I101),Cuadro0!E:F,2,FALSE)),"",+VLOOKUP(_xlfn.CONCAT(G101:I101),Cuadro0!E:F,2,FALSE))</f>
        <v/>
      </c>
    </row>
    <row r="102" spans="1:10" x14ac:dyDescent="0.25">
      <c r="A102">
        <v>99</v>
      </c>
      <c r="B102" s="8" t="str">
        <f t="shared" si="3"/>
        <v/>
      </c>
      <c r="C102" s="3" t="str">
        <f>IF(ISNA(+VLOOKUP($B102,Cuadro3!A:D,2,FALSE)),"",+VLOOKUP($B102,Cuadro3!A:D,2,FALSE))</f>
        <v/>
      </c>
      <c r="D102" s="3" t="str">
        <f>IF(ISNA(+VLOOKUP($B102,Cuadro3!A:D,3,FALSE)),"",+VLOOKUP($B102,Cuadro3!A:D,3,FALSE))</f>
        <v/>
      </c>
      <c r="E102" s="3" t="str">
        <f>IF(ISNA(+VLOOKUP($B102,Cuadro3!A:D,4,FALSE)),"",+VLOOKUP($B102,Cuadro3!A:D,4,FALSE))</f>
        <v/>
      </c>
      <c r="F102" s="5"/>
      <c r="G102" s="3" t="str">
        <f>+IF(G$2=0,C102,IF(G$2=1,C101,IF(G$2=2,C100,"X")))</f>
        <v/>
      </c>
      <c r="H102" s="3" t="str">
        <f>+IF(H$2=0,D102,IF(H$2=1,D101,IF(H$2=2,D100,"X")))</f>
        <v/>
      </c>
      <c r="I102" s="3" t="str">
        <f>+IF(I$2=0,E102,IF(I$2=1,E101,IF(I$2=2,E100,"X")))</f>
        <v/>
      </c>
      <c r="J102" s="9" t="str">
        <f>IF(ISNA(+VLOOKUP(_xlfn.CONCAT(G102:I102),Cuadro0!E:F,2,FALSE)),"",+VLOOKUP(_xlfn.CONCAT(G102:I102),Cuadro0!E:F,2,FALSE))</f>
        <v/>
      </c>
    </row>
    <row r="103" spans="1:10" x14ac:dyDescent="0.25">
      <c r="A103">
        <v>100</v>
      </c>
      <c r="B103" s="6" t="str">
        <f t="shared" si="3"/>
        <v/>
      </c>
      <c r="C103" s="10" t="str">
        <f>IF(ISNA(+VLOOKUP($B103,Cuadro1!A:D,2,FALSE)),"",+VLOOKUP($B103,Cuadro1!A:D,2,FALSE))</f>
        <v/>
      </c>
      <c r="D103" s="10" t="str">
        <f>IF(ISNA(+VLOOKUP($B103,Cuadro1!A:D,3,FALSE)),"",+VLOOKUP($B103,Cuadro1!A:D,3,FALSE))</f>
        <v/>
      </c>
      <c r="E103" s="10" t="str">
        <f>IF(ISNA(+VLOOKUP($B103,Cuadro1!A:D,4,FALSE)),"",+VLOOKUP($B103,Cuadro1!A:D,4,FALSE))</f>
        <v/>
      </c>
      <c r="G103" s="10" t="str">
        <f>+IF(G$2=0,C103,IF(G$2=1,C105,IF(G$2=2,C104,"X")))</f>
        <v/>
      </c>
      <c r="H103" s="10" t="str">
        <f>+IF(H$2=0,D103,IF(H$2=1,D105,IF(H$2=2,D104,"X")))</f>
        <v/>
      </c>
      <c r="I103" s="10" t="str">
        <f>+IF(I$2=0,E103,IF(I$2=1,E105,IF(I$2=2,E104,"X")))</f>
        <v/>
      </c>
      <c r="J103" s="9" t="str">
        <f>IF(ISNA(+VLOOKUP(_xlfn.CONCAT(G103:I103),Cuadro0!E:F,2,FALSE)),"",+VLOOKUP(_xlfn.CONCAT(G103:I103),Cuadro0!E:F,2,FALSE))</f>
        <v/>
      </c>
    </row>
    <row r="104" spans="1:10" x14ac:dyDescent="0.25">
      <c r="A104">
        <v>101</v>
      </c>
      <c r="B104" s="7" t="str">
        <f t="shared" si="3"/>
        <v/>
      </c>
      <c r="C104" s="10" t="str">
        <f>IF(ISNA(+VLOOKUP($B104,Cuadro2!A:D,2,FALSE)),"",+VLOOKUP($B104,Cuadro2!A:D,2,FALSE))</f>
        <v/>
      </c>
      <c r="D104" s="10" t="str">
        <f>IF(ISNA(+VLOOKUP($B104,Cuadro2!A:D,3,FALSE)),"",+VLOOKUP($B104,Cuadro2!A:D,3,FALSE))</f>
        <v/>
      </c>
      <c r="E104" s="10" t="str">
        <f>IF(ISNA(+VLOOKUP($B104,Cuadro2!A:D,4,FALSE)),"",+VLOOKUP($B104,Cuadro2!A:D,4,FALSE))</f>
        <v/>
      </c>
      <c r="F104" s="10"/>
      <c r="G104" s="10" t="str">
        <f>+IF(G$2=0,C104,IF(G$2=1,C103,IF(G$2=2,C105,"X")))</f>
        <v/>
      </c>
      <c r="H104" s="10" t="str">
        <f>+IF(H$2=0,D104,IF(H$2=1,D103,IF(H$2=2,D105,"X")))</f>
        <v/>
      </c>
      <c r="I104" s="10" t="str">
        <f>+IF(I$2=0,E104,IF(I$2=1,E103,IF(I$2=2,E105,"X")))</f>
        <v/>
      </c>
      <c r="J104" s="9" t="str">
        <f>IF(ISNA(+VLOOKUP(_xlfn.CONCAT(G104:I104),Cuadro0!E:F,2,FALSE)),"",+VLOOKUP(_xlfn.CONCAT(G104:I104),Cuadro0!E:F,2,FALSE))</f>
        <v/>
      </c>
    </row>
    <row r="105" spans="1:10" x14ac:dyDescent="0.25">
      <c r="A105">
        <v>102</v>
      </c>
      <c r="B105" s="8" t="str">
        <f t="shared" si="3"/>
        <v/>
      </c>
      <c r="C105" s="3" t="str">
        <f>IF(ISNA(+VLOOKUP($B105,Cuadro3!A:D,2,FALSE)),"",+VLOOKUP($B105,Cuadro3!A:D,2,FALSE))</f>
        <v/>
      </c>
      <c r="D105" s="3" t="str">
        <f>IF(ISNA(+VLOOKUP($B105,Cuadro3!A:D,3,FALSE)),"",+VLOOKUP($B105,Cuadro3!A:D,3,FALSE))</f>
        <v/>
      </c>
      <c r="E105" s="3" t="str">
        <f>IF(ISNA(+VLOOKUP($B105,Cuadro3!A:D,4,FALSE)),"",+VLOOKUP($B105,Cuadro3!A:D,4,FALSE))</f>
        <v/>
      </c>
      <c r="F105" s="5"/>
      <c r="G105" s="3" t="str">
        <f>+IF(G$2=0,C105,IF(G$2=1,C104,IF(G$2=2,C103,"X")))</f>
        <v/>
      </c>
      <c r="H105" s="3" t="str">
        <f>+IF(H$2=0,D105,IF(H$2=1,D104,IF(H$2=2,D103,"X")))</f>
        <v/>
      </c>
      <c r="I105" s="3" t="str">
        <f>+IF(I$2=0,E105,IF(I$2=1,E104,IF(I$2=2,E103,"X")))</f>
        <v/>
      </c>
      <c r="J105" s="9" t="str">
        <f>IF(ISNA(+VLOOKUP(_xlfn.CONCAT(G105:I105),Cuadro0!E:F,2,FALSE)),"",+VLOOKUP(_xlfn.CONCAT(G105:I105),Cuadro0!E:F,2,FALSE))</f>
        <v/>
      </c>
    </row>
    <row r="106" spans="1:10" x14ac:dyDescent="0.25">
      <c r="A106">
        <v>103</v>
      </c>
      <c r="B106" s="6" t="str">
        <f t="shared" si="3"/>
        <v/>
      </c>
      <c r="C106" s="10" t="str">
        <f>IF(ISNA(+VLOOKUP($B106,Cuadro1!A:D,2,FALSE)),"",+VLOOKUP($B106,Cuadro1!A:D,2,FALSE))</f>
        <v/>
      </c>
      <c r="D106" s="10" t="str">
        <f>IF(ISNA(+VLOOKUP($B106,Cuadro1!A:D,3,FALSE)),"",+VLOOKUP($B106,Cuadro1!A:D,3,FALSE))</f>
        <v/>
      </c>
      <c r="E106" s="10" t="str">
        <f>IF(ISNA(+VLOOKUP($B106,Cuadro1!A:D,4,FALSE)),"",+VLOOKUP($B106,Cuadro1!A:D,4,FALSE))</f>
        <v/>
      </c>
      <c r="G106" s="10" t="str">
        <f>+IF(G$2=0,C106,IF(G$2=1,C108,IF(G$2=2,C107,"X")))</f>
        <v/>
      </c>
      <c r="H106" s="10" t="str">
        <f>+IF(H$2=0,D106,IF(H$2=1,D108,IF(H$2=2,D107,"X")))</f>
        <v/>
      </c>
      <c r="I106" s="10" t="str">
        <f>+IF(I$2=0,E106,IF(I$2=1,E108,IF(I$2=2,E107,"X")))</f>
        <v/>
      </c>
      <c r="J106" s="9" t="str">
        <f>IF(ISNA(+VLOOKUP(_xlfn.CONCAT(G106:I106),Cuadro0!E:F,2,FALSE)),"",+VLOOKUP(_xlfn.CONCAT(G106:I106),Cuadro0!E:F,2,FALSE))</f>
        <v/>
      </c>
    </row>
    <row r="107" spans="1:10" x14ac:dyDescent="0.25">
      <c r="A107">
        <v>104</v>
      </c>
      <c r="B107" s="7" t="str">
        <f t="shared" si="3"/>
        <v/>
      </c>
      <c r="C107" s="10" t="str">
        <f>IF(ISNA(+VLOOKUP($B107,Cuadro2!A:D,2,FALSE)),"",+VLOOKUP($B107,Cuadro2!A:D,2,FALSE))</f>
        <v/>
      </c>
      <c r="D107" s="10" t="str">
        <f>IF(ISNA(+VLOOKUP($B107,Cuadro2!A:D,3,FALSE)),"",+VLOOKUP($B107,Cuadro2!A:D,3,FALSE))</f>
        <v/>
      </c>
      <c r="E107" s="10" t="str">
        <f>IF(ISNA(+VLOOKUP($B107,Cuadro2!A:D,4,FALSE)),"",+VLOOKUP($B107,Cuadro2!A:D,4,FALSE))</f>
        <v/>
      </c>
      <c r="F107" s="10"/>
      <c r="G107" s="10" t="str">
        <f>+IF(G$2=0,C107,IF(G$2=1,C106,IF(G$2=2,C108,"X")))</f>
        <v/>
      </c>
      <c r="H107" s="10" t="str">
        <f>+IF(H$2=0,D107,IF(H$2=1,D106,IF(H$2=2,D108,"X")))</f>
        <v/>
      </c>
      <c r="I107" s="10" t="str">
        <f>+IF(I$2=0,E107,IF(I$2=1,E106,IF(I$2=2,E108,"X")))</f>
        <v/>
      </c>
      <c r="J107" s="9" t="str">
        <f>IF(ISNA(+VLOOKUP(_xlfn.CONCAT(G107:I107),Cuadro0!E:F,2,FALSE)),"",+VLOOKUP(_xlfn.CONCAT(G107:I107),Cuadro0!E:F,2,FALSE))</f>
        <v/>
      </c>
    </row>
    <row r="108" spans="1:10" x14ac:dyDescent="0.25">
      <c r="A108">
        <v>105</v>
      </c>
      <c r="B108" s="8" t="str">
        <f t="shared" si="3"/>
        <v/>
      </c>
      <c r="C108" s="3" t="str">
        <f>IF(ISNA(+VLOOKUP($B108,Cuadro3!A:D,2,FALSE)),"",+VLOOKUP($B108,Cuadro3!A:D,2,FALSE))</f>
        <v/>
      </c>
      <c r="D108" s="3" t="str">
        <f>IF(ISNA(+VLOOKUP($B108,Cuadro3!A:D,3,FALSE)),"",+VLOOKUP($B108,Cuadro3!A:D,3,FALSE))</f>
        <v/>
      </c>
      <c r="E108" s="3" t="str">
        <f>IF(ISNA(+VLOOKUP($B108,Cuadro3!A:D,4,FALSE)),"",+VLOOKUP($B108,Cuadro3!A:D,4,FALSE))</f>
        <v/>
      </c>
      <c r="F108" s="5"/>
      <c r="G108" s="3" t="str">
        <f>+IF(G$2=0,C108,IF(G$2=1,C107,IF(G$2=2,C106,"X")))</f>
        <v/>
      </c>
      <c r="H108" s="3" t="str">
        <f>+IF(H$2=0,D108,IF(H$2=1,D107,IF(H$2=2,D106,"X")))</f>
        <v/>
      </c>
      <c r="I108" s="3" t="str">
        <f>+IF(I$2=0,E108,IF(I$2=1,E107,IF(I$2=2,E106,"X")))</f>
        <v/>
      </c>
      <c r="J108" s="9" t="str">
        <f>IF(ISNA(+VLOOKUP(_xlfn.CONCAT(G108:I108),Cuadro0!E:F,2,FALSE)),"",+VLOOKUP(_xlfn.CONCAT(G108:I108),Cuadro0!E:F,2,FALSE))</f>
        <v/>
      </c>
    </row>
    <row r="109" spans="1:10" x14ac:dyDescent="0.25">
      <c r="A109">
        <v>106</v>
      </c>
      <c r="B109" s="6" t="str">
        <f t="shared" si="3"/>
        <v/>
      </c>
      <c r="C109" s="10" t="str">
        <f>IF(ISNA(+VLOOKUP($B109,Cuadro1!A:D,2,FALSE)),"",+VLOOKUP($B109,Cuadro1!A:D,2,FALSE))</f>
        <v/>
      </c>
      <c r="D109" s="10" t="str">
        <f>IF(ISNA(+VLOOKUP($B109,Cuadro1!A:D,3,FALSE)),"",+VLOOKUP($B109,Cuadro1!A:D,3,FALSE))</f>
        <v/>
      </c>
      <c r="E109" s="10" t="str">
        <f>IF(ISNA(+VLOOKUP($B109,Cuadro1!A:D,4,FALSE)),"",+VLOOKUP($B109,Cuadro1!A:D,4,FALSE))</f>
        <v/>
      </c>
      <c r="G109" s="10" t="str">
        <f>+IF(G$2=0,C109,IF(G$2=1,C111,IF(G$2=2,C110,"X")))</f>
        <v/>
      </c>
      <c r="H109" s="10" t="str">
        <f>+IF(H$2=0,D109,IF(H$2=1,D111,IF(H$2=2,D110,"X")))</f>
        <v/>
      </c>
      <c r="I109" s="10" t="str">
        <f>+IF(I$2=0,E109,IF(I$2=1,E111,IF(I$2=2,E110,"X")))</f>
        <v/>
      </c>
      <c r="J109" s="9" t="str">
        <f>IF(ISNA(+VLOOKUP(_xlfn.CONCAT(G109:I109),Cuadro0!E:F,2,FALSE)),"",+VLOOKUP(_xlfn.CONCAT(G109:I109),Cuadro0!E:F,2,FALSE))</f>
        <v/>
      </c>
    </row>
    <row r="110" spans="1:10" x14ac:dyDescent="0.25">
      <c r="A110">
        <v>107</v>
      </c>
      <c r="B110" s="7" t="str">
        <f t="shared" si="3"/>
        <v/>
      </c>
      <c r="C110" s="10" t="str">
        <f>IF(ISNA(+VLOOKUP($B110,Cuadro2!A:D,2,FALSE)),"",+VLOOKUP($B110,Cuadro2!A:D,2,FALSE))</f>
        <v/>
      </c>
      <c r="D110" s="10" t="str">
        <f>IF(ISNA(+VLOOKUP($B110,Cuadro2!A:D,3,FALSE)),"",+VLOOKUP($B110,Cuadro2!A:D,3,FALSE))</f>
        <v/>
      </c>
      <c r="E110" s="10" t="str">
        <f>IF(ISNA(+VLOOKUP($B110,Cuadro2!A:D,4,FALSE)),"",+VLOOKUP($B110,Cuadro2!A:D,4,FALSE))</f>
        <v/>
      </c>
      <c r="F110" s="10"/>
      <c r="G110" s="10" t="str">
        <f>+IF(G$2=0,C110,IF(G$2=1,C109,IF(G$2=2,C111,"X")))</f>
        <v/>
      </c>
      <c r="H110" s="10" t="str">
        <f>+IF(H$2=0,D110,IF(H$2=1,D109,IF(H$2=2,D111,"X")))</f>
        <v/>
      </c>
      <c r="I110" s="10" t="str">
        <f>+IF(I$2=0,E110,IF(I$2=1,E109,IF(I$2=2,E111,"X")))</f>
        <v/>
      </c>
      <c r="J110" s="9" t="str">
        <f>IF(ISNA(+VLOOKUP(_xlfn.CONCAT(G110:I110),Cuadro0!E:F,2,FALSE)),"",+VLOOKUP(_xlfn.CONCAT(G110:I110),Cuadro0!E:F,2,FALSE))</f>
        <v/>
      </c>
    </row>
    <row r="111" spans="1:10" x14ac:dyDescent="0.25">
      <c r="A111">
        <v>108</v>
      </c>
      <c r="B111" s="8" t="str">
        <f t="shared" si="3"/>
        <v/>
      </c>
      <c r="C111" s="3" t="str">
        <f>IF(ISNA(+VLOOKUP($B111,Cuadro3!A:D,2,FALSE)),"",+VLOOKUP($B111,Cuadro3!A:D,2,FALSE))</f>
        <v/>
      </c>
      <c r="D111" s="3" t="str">
        <f>IF(ISNA(+VLOOKUP($B111,Cuadro3!A:D,3,FALSE)),"",+VLOOKUP($B111,Cuadro3!A:D,3,FALSE))</f>
        <v/>
      </c>
      <c r="E111" s="3" t="str">
        <f>IF(ISNA(+VLOOKUP($B111,Cuadro3!A:D,4,FALSE)),"",+VLOOKUP($B111,Cuadro3!A:D,4,FALSE))</f>
        <v/>
      </c>
      <c r="F111" s="5"/>
      <c r="G111" s="3" t="str">
        <f>+IF(G$2=0,C111,IF(G$2=1,C110,IF(G$2=2,C109,"X")))</f>
        <v/>
      </c>
      <c r="H111" s="3" t="str">
        <f>+IF(H$2=0,D111,IF(H$2=1,D110,IF(H$2=2,D109,"X")))</f>
        <v/>
      </c>
      <c r="I111" s="3" t="str">
        <f>+IF(I$2=0,E111,IF(I$2=1,E110,IF(I$2=2,E109,"X")))</f>
        <v/>
      </c>
      <c r="J111" s="9" t="str">
        <f>IF(ISNA(+VLOOKUP(_xlfn.CONCAT(G111:I111),Cuadro0!E:F,2,FALSE)),"",+VLOOKUP(_xlfn.CONCAT(G111:I111),Cuadro0!E:F,2,FALSE))</f>
        <v/>
      </c>
    </row>
  </sheetData>
  <mergeCells count="1">
    <mergeCell ref="G1:I1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542C-4A50-44DA-AE45-5E5BB94CF3C9}">
  <sheetPr codeName="Hoja7">
    <tabColor theme="0" tint="-0.14999847407452621"/>
  </sheetPr>
  <dimension ref="A1:O28"/>
  <sheetViews>
    <sheetView workbookViewId="0"/>
  </sheetViews>
  <sheetFormatPr baseColWidth="10" defaultColWidth="3.7109375" defaultRowHeight="15" x14ac:dyDescent="0.25"/>
  <cols>
    <col min="1" max="1" width="6.28515625" style="11" bestFit="1" customWidth="1"/>
    <col min="2" max="16384" width="3.7109375" style="11"/>
  </cols>
  <sheetData>
    <row r="1" spans="1:15" x14ac:dyDescent="0.25">
      <c r="A1" s="35" t="s">
        <v>30</v>
      </c>
      <c r="B1" s="36" t="s">
        <v>27</v>
      </c>
      <c r="C1" s="36" t="s">
        <v>21</v>
      </c>
      <c r="D1" s="36" t="s">
        <v>25</v>
      </c>
      <c r="E1" s="36"/>
      <c r="F1" s="36"/>
      <c r="G1" s="2"/>
      <c r="H1" s="2"/>
      <c r="I1" s="2"/>
      <c r="J1" s="2"/>
      <c r="K1" s="2"/>
      <c r="L1" s="2"/>
      <c r="M1" s="2"/>
    </row>
    <row r="2" spans="1:15" x14ac:dyDescent="0.25">
      <c r="A2" s="31" t="str">
        <f>+Config!B3</f>
        <v>A</v>
      </c>
      <c r="B2" s="32">
        <v>1</v>
      </c>
      <c r="C2" s="32">
        <v>1</v>
      </c>
      <c r="D2" s="32">
        <v>1</v>
      </c>
      <c r="E2" s="36" t="str">
        <f>+B2&amp;C2&amp;D2</f>
        <v>111</v>
      </c>
      <c r="F2" s="36" t="str">
        <f>+A2</f>
        <v>A</v>
      </c>
      <c r="G2" s="2"/>
      <c r="H2" s="2"/>
      <c r="I2" s="2"/>
      <c r="J2" s="2"/>
      <c r="K2" s="2"/>
      <c r="L2" s="2"/>
      <c r="M2" s="2"/>
    </row>
    <row r="3" spans="1:15" x14ac:dyDescent="0.25">
      <c r="A3" s="31" t="str">
        <f>+Config!B4</f>
        <v>D</v>
      </c>
      <c r="B3" s="32">
        <v>1</v>
      </c>
      <c r="C3" s="32">
        <v>2</v>
      </c>
      <c r="D3" s="32">
        <v>1</v>
      </c>
      <c r="E3" s="36" t="str">
        <f t="shared" ref="E3:E28" si="0">+B3&amp;C3&amp;D3</f>
        <v>121</v>
      </c>
      <c r="F3" s="36" t="str">
        <f t="shared" ref="F3:F28" si="1">+A3</f>
        <v>D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31" t="str">
        <f>+Config!B5</f>
        <v>G</v>
      </c>
      <c r="B4" s="32">
        <v>1</v>
      </c>
      <c r="C4" s="32">
        <v>3</v>
      </c>
      <c r="D4" s="32">
        <v>1</v>
      </c>
      <c r="E4" s="36" t="str">
        <f t="shared" si="0"/>
        <v>131</v>
      </c>
      <c r="F4" s="36" t="str">
        <f t="shared" si="1"/>
        <v>G</v>
      </c>
      <c r="G4" s="2"/>
      <c r="H4" s="2"/>
      <c r="I4" s="2"/>
      <c r="J4" s="2"/>
      <c r="K4" s="2"/>
      <c r="L4" s="2"/>
      <c r="M4" s="2"/>
      <c r="O4" s="2"/>
    </row>
    <row r="5" spans="1:15" x14ac:dyDescent="0.25">
      <c r="A5" s="31" t="str">
        <f>+Config!C3</f>
        <v>B</v>
      </c>
      <c r="B5" s="32">
        <v>2</v>
      </c>
      <c r="C5" s="32">
        <v>1</v>
      </c>
      <c r="D5" s="32">
        <v>1</v>
      </c>
      <c r="E5" s="36" t="str">
        <f t="shared" si="0"/>
        <v>211</v>
      </c>
      <c r="F5" s="36" t="str">
        <f t="shared" si="1"/>
        <v>B</v>
      </c>
      <c r="G5" s="2"/>
      <c r="H5" s="2"/>
      <c r="I5" s="2"/>
      <c r="J5" s="2"/>
      <c r="K5" s="2"/>
      <c r="L5" s="2"/>
      <c r="M5" s="2"/>
    </row>
    <row r="6" spans="1:15" x14ac:dyDescent="0.25">
      <c r="A6" s="31" t="str">
        <f>+Config!C4</f>
        <v>E</v>
      </c>
      <c r="B6" s="32">
        <v>2</v>
      </c>
      <c r="C6" s="32">
        <v>2</v>
      </c>
      <c r="D6" s="32">
        <v>1</v>
      </c>
      <c r="E6" s="36" t="str">
        <f t="shared" si="0"/>
        <v>221</v>
      </c>
      <c r="F6" s="36" t="str">
        <f t="shared" si="1"/>
        <v>E</v>
      </c>
      <c r="G6" s="2"/>
      <c r="H6" s="2"/>
      <c r="I6" s="2"/>
      <c r="J6" s="2"/>
      <c r="K6" s="2"/>
      <c r="L6" s="2"/>
      <c r="M6" s="2"/>
    </row>
    <row r="7" spans="1:15" x14ac:dyDescent="0.25">
      <c r="A7" s="31" t="str">
        <f>+Config!C5</f>
        <v>H</v>
      </c>
      <c r="B7" s="32">
        <v>2</v>
      </c>
      <c r="C7" s="32">
        <v>3</v>
      </c>
      <c r="D7" s="32">
        <v>1</v>
      </c>
      <c r="E7" s="36" t="str">
        <f t="shared" si="0"/>
        <v>231</v>
      </c>
      <c r="F7" s="36" t="str">
        <f t="shared" si="1"/>
        <v>H</v>
      </c>
      <c r="G7" s="2"/>
      <c r="H7" s="2"/>
      <c r="I7" s="2"/>
      <c r="J7" s="2"/>
      <c r="K7" s="2"/>
      <c r="L7" s="2"/>
      <c r="M7" s="2"/>
      <c r="O7" s="2"/>
    </row>
    <row r="8" spans="1:15" x14ac:dyDescent="0.25">
      <c r="A8" s="31" t="str">
        <f>+Config!D3</f>
        <v>C</v>
      </c>
      <c r="B8" s="32">
        <v>3</v>
      </c>
      <c r="C8" s="32">
        <v>1</v>
      </c>
      <c r="D8" s="32">
        <v>1</v>
      </c>
      <c r="E8" s="36" t="str">
        <f t="shared" si="0"/>
        <v>311</v>
      </c>
      <c r="F8" s="36" t="str">
        <f t="shared" si="1"/>
        <v>C</v>
      </c>
      <c r="G8" s="2"/>
      <c r="H8" s="2"/>
      <c r="I8" s="2"/>
      <c r="J8" s="2"/>
      <c r="K8" s="2"/>
      <c r="L8" s="2"/>
      <c r="M8" s="2"/>
      <c r="O8" s="2"/>
    </row>
    <row r="9" spans="1:15" x14ac:dyDescent="0.25">
      <c r="A9" s="31" t="str">
        <f>+Config!D4</f>
        <v>F</v>
      </c>
      <c r="B9" s="32">
        <v>3</v>
      </c>
      <c r="C9" s="32">
        <v>2</v>
      </c>
      <c r="D9" s="32">
        <v>1</v>
      </c>
      <c r="E9" s="36" t="str">
        <f t="shared" si="0"/>
        <v>321</v>
      </c>
      <c r="F9" s="36" t="str">
        <f t="shared" si="1"/>
        <v>F</v>
      </c>
      <c r="G9" s="2"/>
      <c r="H9" s="2"/>
      <c r="I9" s="2"/>
      <c r="J9" s="2"/>
      <c r="K9" s="2"/>
      <c r="L9" s="2"/>
      <c r="M9" s="2"/>
    </row>
    <row r="10" spans="1:15" x14ac:dyDescent="0.25">
      <c r="A10" s="29" t="str">
        <f>+Config!D5</f>
        <v>I</v>
      </c>
      <c r="B10" s="30">
        <v>3</v>
      </c>
      <c r="C10" s="30">
        <v>3</v>
      </c>
      <c r="D10" s="30">
        <v>1</v>
      </c>
      <c r="E10" s="36" t="str">
        <f t="shared" si="0"/>
        <v>331</v>
      </c>
      <c r="F10" s="36" t="str">
        <f t="shared" si="1"/>
        <v>I</v>
      </c>
      <c r="G10" s="2"/>
      <c r="H10" s="2"/>
      <c r="I10" s="2"/>
      <c r="J10" s="2"/>
      <c r="K10" s="2"/>
      <c r="L10" s="2"/>
      <c r="M10" s="2"/>
    </row>
    <row r="11" spans="1:15" x14ac:dyDescent="0.25">
      <c r="A11" s="31" t="str">
        <f>+Config!F3</f>
        <v>J</v>
      </c>
      <c r="B11" s="32">
        <v>1</v>
      </c>
      <c r="C11" s="32">
        <v>1</v>
      </c>
      <c r="D11" s="32">
        <v>2</v>
      </c>
      <c r="E11" s="36" t="str">
        <f t="shared" si="0"/>
        <v>112</v>
      </c>
      <c r="F11" s="36" t="str">
        <f t="shared" si="1"/>
        <v>J</v>
      </c>
      <c r="G11" s="2"/>
      <c r="H11" s="2"/>
      <c r="I11" s="2"/>
      <c r="J11" s="2"/>
      <c r="K11" s="2"/>
      <c r="L11" s="2"/>
      <c r="M11" s="2"/>
    </row>
    <row r="12" spans="1:15" x14ac:dyDescent="0.25">
      <c r="A12" s="31" t="str">
        <f>+Config!F4</f>
        <v>M</v>
      </c>
      <c r="B12" s="32">
        <v>1</v>
      </c>
      <c r="C12" s="32">
        <v>2</v>
      </c>
      <c r="D12" s="32">
        <v>2</v>
      </c>
      <c r="E12" s="36" t="str">
        <f t="shared" si="0"/>
        <v>122</v>
      </c>
      <c r="F12" s="36" t="str">
        <f t="shared" si="1"/>
        <v>M</v>
      </c>
      <c r="G12" s="2"/>
      <c r="H12" s="2"/>
      <c r="I12" s="2"/>
      <c r="J12" s="2"/>
      <c r="K12" s="2"/>
      <c r="L12" s="2"/>
      <c r="M12" s="2"/>
    </row>
    <row r="13" spans="1:15" x14ac:dyDescent="0.25">
      <c r="A13" s="31" t="str">
        <f>+Config!F5</f>
        <v>P</v>
      </c>
      <c r="B13" s="32">
        <v>1</v>
      </c>
      <c r="C13" s="32">
        <v>3</v>
      </c>
      <c r="D13" s="32">
        <v>2</v>
      </c>
      <c r="E13" s="36" t="str">
        <f t="shared" si="0"/>
        <v>132</v>
      </c>
      <c r="F13" s="36" t="str">
        <f t="shared" si="1"/>
        <v>P</v>
      </c>
      <c r="G13" s="2"/>
      <c r="H13" s="2"/>
      <c r="I13" s="2"/>
      <c r="J13" s="2"/>
      <c r="K13" s="2"/>
      <c r="L13" s="2"/>
      <c r="M13" s="2"/>
    </row>
    <row r="14" spans="1:15" x14ac:dyDescent="0.25">
      <c r="A14" s="31" t="str">
        <f>+Config!G3</f>
        <v>K</v>
      </c>
      <c r="B14" s="32">
        <v>2</v>
      </c>
      <c r="C14" s="32">
        <v>1</v>
      </c>
      <c r="D14" s="32">
        <v>2</v>
      </c>
      <c r="E14" s="36" t="str">
        <f t="shared" si="0"/>
        <v>212</v>
      </c>
      <c r="F14" s="36" t="str">
        <f t="shared" si="1"/>
        <v>K</v>
      </c>
      <c r="G14" s="2"/>
      <c r="H14" s="2"/>
      <c r="I14" s="2"/>
      <c r="J14" s="2"/>
      <c r="K14" s="2"/>
      <c r="L14" s="2"/>
      <c r="M14" s="2"/>
    </row>
    <row r="15" spans="1:15" x14ac:dyDescent="0.25">
      <c r="A15" s="31" t="str">
        <f>+Config!G4</f>
        <v>N</v>
      </c>
      <c r="B15" s="32">
        <v>2</v>
      </c>
      <c r="C15" s="32">
        <v>2</v>
      </c>
      <c r="D15" s="32">
        <v>2</v>
      </c>
      <c r="E15" s="36" t="str">
        <f t="shared" si="0"/>
        <v>222</v>
      </c>
      <c r="F15" s="36" t="str">
        <f t="shared" si="1"/>
        <v>N</v>
      </c>
      <c r="G15" s="2"/>
      <c r="H15" s="2"/>
      <c r="I15" s="2"/>
      <c r="J15" s="2"/>
      <c r="K15" s="2"/>
      <c r="L15" s="2"/>
      <c r="M15" s="2"/>
    </row>
    <row r="16" spans="1:15" x14ac:dyDescent="0.25">
      <c r="A16" s="31" t="str">
        <f>+Config!G5</f>
        <v>Q</v>
      </c>
      <c r="B16" s="32">
        <v>2</v>
      </c>
      <c r="C16" s="32">
        <v>3</v>
      </c>
      <c r="D16" s="32">
        <v>2</v>
      </c>
      <c r="E16" s="36" t="str">
        <f t="shared" si="0"/>
        <v>232</v>
      </c>
      <c r="F16" s="36" t="str">
        <f t="shared" si="1"/>
        <v>Q</v>
      </c>
      <c r="G16" s="2"/>
      <c r="H16" s="2"/>
      <c r="I16" s="2"/>
      <c r="J16" s="2"/>
      <c r="K16" s="2"/>
      <c r="L16" s="2"/>
      <c r="M16" s="2"/>
    </row>
    <row r="17" spans="1:13" x14ac:dyDescent="0.25">
      <c r="A17" s="31" t="str">
        <f>+Config!H3</f>
        <v>L</v>
      </c>
      <c r="B17" s="32">
        <v>3</v>
      </c>
      <c r="C17" s="32">
        <v>1</v>
      </c>
      <c r="D17" s="32">
        <v>2</v>
      </c>
      <c r="E17" s="36" t="str">
        <f t="shared" si="0"/>
        <v>312</v>
      </c>
      <c r="F17" s="36" t="str">
        <f t="shared" si="1"/>
        <v>L</v>
      </c>
      <c r="G17" s="2"/>
      <c r="H17" s="2"/>
      <c r="I17" s="2"/>
      <c r="J17" s="2"/>
      <c r="K17" s="2"/>
      <c r="L17" s="2"/>
      <c r="M17" s="2"/>
    </row>
    <row r="18" spans="1:13" x14ac:dyDescent="0.25">
      <c r="A18" s="31" t="str">
        <f>+Config!H4</f>
        <v>O</v>
      </c>
      <c r="B18" s="32">
        <v>3</v>
      </c>
      <c r="C18" s="32">
        <v>2</v>
      </c>
      <c r="D18" s="32">
        <v>2</v>
      </c>
      <c r="E18" s="36" t="str">
        <f t="shared" si="0"/>
        <v>322</v>
      </c>
      <c r="F18" s="36" t="str">
        <f t="shared" si="1"/>
        <v>O</v>
      </c>
      <c r="G18" s="2"/>
    </row>
    <row r="19" spans="1:13" x14ac:dyDescent="0.25">
      <c r="A19" s="29" t="str">
        <f>+Config!H5</f>
        <v>R</v>
      </c>
      <c r="B19" s="30">
        <v>3</v>
      </c>
      <c r="C19" s="30">
        <v>3</v>
      </c>
      <c r="D19" s="30">
        <v>2</v>
      </c>
      <c r="E19" s="36" t="str">
        <f t="shared" si="0"/>
        <v>332</v>
      </c>
      <c r="F19" s="36" t="str">
        <f t="shared" si="1"/>
        <v>R</v>
      </c>
      <c r="G19" s="2"/>
    </row>
    <row r="20" spans="1:13" x14ac:dyDescent="0.25">
      <c r="A20" s="31" t="str">
        <f>+Config!J3</f>
        <v>S</v>
      </c>
      <c r="B20" s="32">
        <v>1</v>
      </c>
      <c r="C20" s="32">
        <v>1</v>
      </c>
      <c r="D20" s="32">
        <v>3</v>
      </c>
      <c r="E20" s="35" t="str">
        <f t="shared" si="0"/>
        <v>113</v>
      </c>
      <c r="F20" s="35" t="str">
        <f t="shared" si="1"/>
        <v>S</v>
      </c>
    </row>
    <row r="21" spans="1:13" x14ac:dyDescent="0.25">
      <c r="A21" s="31" t="str">
        <f>+Config!J4</f>
        <v>V</v>
      </c>
      <c r="B21" s="32">
        <v>1</v>
      </c>
      <c r="C21" s="32">
        <v>2</v>
      </c>
      <c r="D21" s="32">
        <v>3</v>
      </c>
      <c r="E21" s="35" t="str">
        <f t="shared" si="0"/>
        <v>123</v>
      </c>
      <c r="F21" s="35" t="str">
        <f t="shared" si="1"/>
        <v>V</v>
      </c>
    </row>
    <row r="22" spans="1:13" x14ac:dyDescent="0.25">
      <c r="A22" s="31" t="str">
        <f>+Config!J5</f>
        <v>Y</v>
      </c>
      <c r="B22" s="32">
        <v>1</v>
      </c>
      <c r="C22" s="32">
        <v>3</v>
      </c>
      <c r="D22" s="32">
        <v>3</v>
      </c>
      <c r="E22" s="35" t="str">
        <f t="shared" si="0"/>
        <v>133</v>
      </c>
      <c r="F22" s="35" t="str">
        <f t="shared" si="1"/>
        <v>Y</v>
      </c>
    </row>
    <row r="23" spans="1:13" x14ac:dyDescent="0.25">
      <c r="A23" s="31" t="str">
        <f>+Config!K3</f>
        <v>T</v>
      </c>
      <c r="B23" s="32">
        <v>2</v>
      </c>
      <c r="C23" s="32">
        <v>1</v>
      </c>
      <c r="D23" s="32">
        <v>3</v>
      </c>
      <c r="E23" s="35" t="str">
        <f t="shared" si="0"/>
        <v>213</v>
      </c>
      <c r="F23" s="35" t="str">
        <f t="shared" si="1"/>
        <v>T</v>
      </c>
    </row>
    <row r="24" spans="1:13" x14ac:dyDescent="0.25">
      <c r="A24" s="31" t="str">
        <f>+Config!K4</f>
        <v>W</v>
      </c>
      <c r="B24" s="32">
        <v>2</v>
      </c>
      <c r="C24" s="32">
        <v>2</v>
      </c>
      <c r="D24" s="32">
        <v>3</v>
      </c>
      <c r="E24" s="35" t="str">
        <f t="shared" si="0"/>
        <v>223</v>
      </c>
      <c r="F24" s="35" t="str">
        <f t="shared" si="1"/>
        <v>W</v>
      </c>
    </row>
    <row r="25" spans="1:13" x14ac:dyDescent="0.25">
      <c r="A25" s="31" t="str">
        <f>+Config!K5</f>
        <v>Z</v>
      </c>
      <c r="B25" s="32">
        <v>2</v>
      </c>
      <c r="C25" s="32">
        <v>3</v>
      </c>
      <c r="D25" s="32">
        <v>3</v>
      </c>
      <c r="E25" s="35" t="str">
        <f t="shared" si="0"/>
        <v>233</v>
      </c>
      <c r="F25" s="35" t="str">
        <f t="shared" si="1"/>
        <v>Z</v>
      </c>
    </row>
    <row r="26" spans="1:13" x14ac:dyDescent="0.25">
      <c r="A26" s="31" t="str">
        <f>+Config!L3</f>
        <v>U</v>
      </c>
      <c r="B26" s="32">
        <v>3</v>
      </c>
      <c r="C26" s="32">
        <v>1</v>
      </c>
      <c r="D26" s="32">
        <v>3</v>
      </c>
      <c r="E26" s="35" t="str">
        <f t="shared" si="0"/>
        <v>313</v>
      </c>
      <c r="F26" s="35" t="str">
        <f t="shared" si="1"/>
        <v>U</v>
      </c>
    </row>
    <row r="27" spans="1:13" x14ac:dyDescent="0.25">
      <c r="A27" s="31" t="str">
        <f>+Config!L4</f>
        <v>X</v>
      </c>
      <c r="B27" s="32">
        <v>3</v>
      </c>
      <c r="C27" s="32">
        <v>2</v>
      </c>
      <c r="D27" s="32">
        <v>3</v>
      </c>
      <c r="E27" s="35" t="str">
        <f t="shared" si="0"/>
        <v>323</v>
      </c>
      <c r="F27" s="35" t="str">
        <f t="shared" si="1"/>
        <v>X</v>
      </c>
    </row>
    <row r="28" spans="1:13" x14ac:dyDescent="0.25">
      <c r="A28" s="29" t="str">
        <f>+Config!L5</f>
        <v>-</v>
      </c>
      <c r="B28" s="30">
        <v>3</v>
      </c>
      <c r="C28" s="30">
        <v>3</v>
      </c>
      <c r="D28" s="30">
        <v>3</v>
      </c>
      <c r="E28" s="35" t="str">
        <f t="shared" si="0"/>
        <v>333</v>
      </c>
      <c r="F28" s="35" t="str">
        <f t="shared" si="1"/>
        <v>-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84E12-4351-4662-9036-737D70ADD8C9}">
  <sheetPr codeName="Hoja2">
    <tabColor theme="9" tint="0.59999389629810485"/>
  </sheetPr>
  <dimension ref="A1:O28"/>
  <sheetViews>
    <sheetView workbookViewId="0">
      <selection activeCell="F4" sqref="F4"/>
    </sheetView>
  </sheetViews>
  <sheetFormatPr baseColWidth="10" defaultColWidth="3.7109375" defaultRowHeight="15" x14ac:dyDescent="0.25"/>
  <cols>
    <col min="1" max="1" width="6.28515625" style="11" bestFit="1" customWidth="1"/>
    <col min="2" max="16384" width="3.7109375" style="11"/>
  </cols>
  <sheetData>
    <row r="1" spans="1:15" x14ac:dyDescent="0.25">
      <c r="A1" s="42" t="s">
        <v>30</v>
      </c>
      <c r="B1" s="41" t="s">
        <v>27</v>
      </c>
      <c r="C1" s="41" t="s">
        <v>21</v>
      </c>
      <c r="D1" s="41" t="s">
        <v>25</v>
      </c>
      <c r="E1" s="41"/>
      <c r="F1" s="41"/>
      <c r="G1" s="2"/>
      <c r="H1" s="2"/>
      <c r="I1" s="2"/>
      <c r="J1" s="2"/>
      <c r="K1" s="2"/>
      <c r="L1" s="2"/>
      <c r="M1" s="2"/>
    </row>
    <row r="2" spans="1:15" x14ac:dyDescent="0.25">
      <c r="A2" s="14" t="str">
        <f>+Config!B7</f>
        <v>M</v>
      </c>
      <c r="B2" s="15">
        <v>1</v>
      </c>
      <c r="C2" s="15">
        <v>1</v>
      </c>
      <c r="D2" s="15">
        <v>1</v>
      </c>
      <c r="E2" s="41" t="str">
        <f>+B2&amp;C2&amp;D2</f>
        <v>111</v>
      </c>
      <c r="F2" s="41" t="str">
        <f>+A2</f>
        <v>M</v>
      </c>
      <c r="G2" s="2"/>
      <c r="H2" s="2"/>
      <c r="I2" s="2"/>
      <c r="J2" s="2"/>
      <c r="K2" s="2"/>
      <c r="L2" s="2"/>
      <c r="M2" s="2"/>
    </row>
    <row r="3" spans="1:15" x14ac:dyDescent="0.25">
      <c r="A3" s="14" t="str">
        <f>+Config!B8</f>
        <v>B</v>
      </c>
      <c r="B3" s="15">
        <v>1</v>
      </c>
      <c r="C3" s="15">
        <v>2</v>
      </c>
      <c r="D3" s="15">
        <v>1</v>
      </c>
      <c r="E3" s="41" t="str">
        <f t="shared" ref="E3:E28" si="0">+B3&amp;C3&amp;D3</f>
        <v>121</v>
      </c>
      <c r="F3" s="41" t="str">
        <f t="shared" ref="F3:F28" si="1">+A3</f>
        <v>B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14" t="str">
        <f>+Config!B9</f>
        <v>H</v>
      </c>
      <c r="B4" s="15">
        <v>1</v>
      </c>
      <c r="C4" s="15">
        <v>3</v>
      </c>
      <c r="D4" s="15">
        <v>1</v>
      </c>
      <c r="E4" s="41" t="str">
        <f t="shared" si="0"/>
        <v>131</v>
      </c>
      <c r="F4" s="41" t="str">
        <f t="shared" si="1"/>
        <v>H</v>
      </c>
      <c r="G4" s="2"/>
      <c r="H4" s="2"/>
      <c r="I4" s="2"/>
      <c r="J4" s="2"/>
      <c r="K4" s="2"/>
      <c r="L4" s="2"/>
      <c r="M4" s="2"/>
      <c r="O4" s="2"/>
    </row>
    <row r="5" spans="1:15" x14ac:dyDescent="0.25">
      <c r="A5" s="14" t="str">
        <f>+Config!C7</f>
        <v>A</v>
      </c>
      <c r="B5" s="15">
        <v>2</v>
      </c>
      <c r="C5" s="15">
        <v>1</v>
      </c>
      <c r="D5" s="15">
        <v>1</v>
      </c>
      <c r="E5" s="41" t="str">
        <f t="shared" si="0"/>
        <v>211</v>
      </c>
      <c r="F5" s="41" t="str">
        <f t="shared" si="1"/>
        <v>A</v>
      </c>
      <c r="G5" s="2"/>
      <c r="H5" s="2"/>
      <c r="I5" s="2"/>
      <c r="J5" s="2"/>
      <c r="K5" s="2"/>
      <c r="L5" s="2"/>
      <c r="M5" s="2"/>
    </row>
    <row r="6" spans="1:15" x14ac:dyDescent="0.25">
      <c r="A6" s="14" t="str">
        <f>+Config!C8</f>
        <v>F</v>
      </c>
      <c r="B6" s="15">
        <v>2</v>
      </c>
      <c r="C6" s="15">
        <v>2</v>
      </c>
      <c r="D6" s="15">
        <v>1</v>
      </c>
      <c r="E6" s="41" t="str">
        <f t="shared" si="0"/>
        <v>221</v>
      </c>
      <c r="F6" s="41" t="str">
        <f t="shared" si="1"/>
        <v>F</v>
      </c>
      <c r="G6" s="2"/>
      <c r="H6" s="2"/>
      <c r="I6" s="2"/>
      <c r="J6" s="2"/>
      <c r="K6" s="2"/>
      <c r="L6" s="2"/>
      <c r="M6" s="2"/>
    </row>
    <row r="7" spans="1:15" x14ac:dyDescent="0.25">
      <c r="A7" s="14" t="str">
        <f>+Config!C9</f>
        <v>C</v>
      </c>
      <c r="B7" s="15">
        <v>2</v>
      </c>
      <c r="C7" s="15">
        <v>3</v>
      </c>
      <c r="D7" s="15">
        <v>1</v>
      </c>
      <c r="E7" s="41" t="str">
        <f t="shared" si="0"/>
        <v>231</v>
      </c>
      <c r="F7" s="41" t="str">
        <f t="shared" si="1"/>
        <v>C</v>
      </c>
      <c r="G7" s="2"/>
      <c r="H7" s="2"/>
      <c r="I7" s="2"/>
      <c r="J7" s="2"/>
      <c r="K7" s="2"/>
      <c r="L7" s="2"/>
      <c r="M7" s="2"/>
      <c r="O7" s="2"/>
    </row>
    <row r="8" spans="1:15" x14ac:dyDescent="0.25">
      <c r="A8" s="14" t="str">
        <f>+Config!D7</f>
        <v>E</v>
      </c>
      <c r="B8" s="15">
        <v>3</v>
      </c>
      <c r="C8" s="15">
        <v>1</v>
      </c>
      <c r="D8" s="15">
        <v>1</v>
      </c>
      <c r="E8" s="41" t="str">
        <f t="shared" si="0"/>
        <v>311</v>
      </c>
      <c r="F8" s="41" t="str">
        <f t="shared" si="1"/>
        <v>E</v>
      </c>
      <c r="G8" s="2"/>
      <c r="H8" s="2"/>
      <c r="I8" s="2"/>
      <c r="J8" s="2"/>
      <c r="K8" s="2"/>
      <c r="L8" s="2"/>
      <c r="M8" s="2"/>
      <c r="O8" s="2"/>
    </row>
    <row r="9" spans="1:15" x14ac:dyDescent="0.25">
      <c r="A9" s="14" t="str">
        <f>+Config!D8</f>
        <v>D</v>
      </c>
      <c r="B9" s="15">
        <v>3</v>
      </c>
      <c r="C9" s="15">
        <v>2</v>
      </c>
      <c r="D9" s="15">
        <v>1</v>
      </c>
      <c r="E9" s="41" t="str">
        <f t="shared" si="0"/>
        <v>321</v>
      </c>
      <c r="F9" s="41" t="str">
        <f t="shared" si="1"/>
        <v>D</v>
      </c>
      <c r="G9" s="2"/>
      <c r="H9" s="2"/>
      <c r="I9" s="2"/>
      <c r="J9" s="2"/>
      <c r="K9" s="2"/>
      <c r="L9" s="2"/>
      <c r="M9" s="2"/>
    </row>
    <row r="10" spans="1:15" x14ac:dyDescent="0.25">
      <c r="A10" s="12" t="str">
        <f>+Config!D9</f>
        <v>J</v>
      </c>
      <c r="B10" s="13">
        <v>3</v>
      </c>
      <c r="C10" s="13">
        <v>3</v>
      </c>
      <c r="D10" s="13">
        <v>1</v>
      </c>
      <c r="E10" s="41" t="str">
        <f t="shared" si="0"/>
        <v>331</v>
      </c>
      <c r="F10" s="41" t="str">
        <f t="shared" si="1"/>
        <v>J</v>
      </c>
      <c r="G10" s="2"/>
      <c r="H10" s="2"/>
      <c r="I10" s="2"/>
      <c r="J10" s="2"/>
      <c r="K10" s="2"/>
      <c r="L10" s="2"/>
      <c r="M10" s="2"/>
    </row>
    <row r="11" spans="1:15" x14ac:dyDescent="0.25">
      <c r="A11" s="14" t="str">
        <f>+Config!F7</f>
        <v>L</v>
      </c>
      <c r="B11" s="15">
        <v>1</v>
      </c>
      <c r="C11" s="15">
        <v>1</v>
      </c>
      <c r="D11" s="15">
        <v>2</v>
      </c>
      <c r="E11" s="41" t="str">
        <f t="shared" si="0"/>
        <v>112</v>
      </c>
      <c r="F11" s="41" t="str">
        <f t="shared" si="1"/>
        <v>L</v>
      </c>
      <c r="G11" s="2"/>
      <c r="H11" s="2"/>
      <c r="I11" s="2"/>
      <c r="J11" s="2"/>
      <c r="K11" s="2"/>
      <c r="L11" s="2"/>
      <c r="M11" s="2"/>
    </row>
    <row r="12" spans="1:15" x14ac:dyDescent="0.25">
      <c r="A12" s="14" t="str">
        <f>+Config!F8</f>
        <v>N</v>
      </c>
      <c r="B12" s="15">
        <v>1</v>
      </c>
      <c r="C12" s="15">
        <v>2</v>
      </c>
      <c r="D12" s="15">
        <v>2</v>
      </c>
      <c r="E12" s="41" t="str">
        <f t="shared" si="0"/>
        <v>122</v>
      </c>
      <c r="F12" s="41" t="str">
        <f t="shared" si="1"/>
        <v>N</v>
      </c>
      <c r="G12" s="2"/>
      <c r="H12" s="2"/>
      <c r="I12" s="2"/>
      <c r="J12" s="2"/>
      <c r="K12" s="2"/>
      <c r="L12" s="2"/>
      <c r="M12" s="2"/>
    </row>
    <row r="13" spans="1:15" x14ac:dyDescent="0.25">
      <c r="A13" s="14" t="str">
        <f>+Config!F9</f>
        <v>O</v>
      </c>
      <c r="B13" s="15">
        <v>1</v>
      </c>
      <c r="C13" s="15">
        <v>3</v>
      </c>
      <c r="D13" s="15">
        <v>2</v>
      </c>
      <c r="E13" s="41" t="str">
        <f t="shared" si="0"/>
        <v>132</v>
      </c>
      <c r="F13" s="41" t="str">
        <f t="shared" si="1"/>
        <v>O</v>
      </c>
      <c r="G13" s="2"/>
      <c r="H13" s="2"/>
      <c r="I13" s="2"/>
      <c r="J13" s="2"/>
      <c r="K13" s="2"/>
      <c r="L13" s="2"/>
      <c r="M13" s="2"/>
    </row>
    <row r="14" spans="1:15" x14ac:dyDescent="0.25">
      <c r="A14" s="14" t="str">
        <f>+Config!G7</f>
        <v>G</v>
      </c>
      <c r="B14" s="15">
        <v>2</v>
      </c>
      <c r="C14" s="15">
        <v>1</v>
      </c>
      <c r="D14" s="15">
        <v>2</v>
      </c>
      <c r="E14" s="41" t="str">
        <f t="shared" si="0"/>
        <v>212</v>
      </c>
      <c r="F14" s="41" t="str">
        <f t="shared" si="1"/>
        <v>G</v>
      </c>
      <c r="G14" s="2"/>
      <c r="H14" s="2"/>
      <c r="I14" s="2"/>
      <c r="J14" s="2"/>
      <c r="K14" s="2"/>
      <c r="L14" s="2"/>
      <c r="M14" s="2"/>
    </row>
    <row r="15" spans="1:15" x14ac:dyDescent="0.25">
      <c r="A15" s="14" t="str">
        <f>+Config!G8</f>
        <v>K</v>
      </c>
      <c r="B15" s="15">
        <v>2</v>
      </c>
      <c r="C15" s="15">
        <v>2</v>
      </c>
      <c r="D15" s="15">
        <v>2</v>
      </c>
      <c r="E15" s="41" t="str">
        <f t="shared" si="0"/>
        <v>222</v>
      </c>
      <c r="F15" s="41" t="str">
        <f t="shared" si="1"/>
        <v>K</v>
      </c>
      <c r="G15" s="2"/>
      <c r="H15" s="2"/>
      <c r="I15" s="2"/>
      <c r="J15" s="2"/>
      <c r="K15" s="2"/>
      <c r="L15" s="2"/>
      <c r="M15" s="2"/>
    </row>
    <row r="16" spans="1:15" x14ac:dyDescent="0.25">
      <c r="A16" s="14" t="str">
        <f>+Config!G9</f>
        <v>P</v>
      </c>
      <c r="B16" s="15">
        <v>2</v>
      </c>
      <c r="C16" s="15">
        <v>3</v>
      </c>
      <c r="D16" s="15">
        <v>2</v>
      </c>
      <c r="E16" s="41" t="str">
        <f t="shared" si="0"/>
        <v>232</v>
      </c>
      <c r="F16" s="41" t="str">
        <f t="shared" si="1"/>
        <v>P</v>
      </c>
      <c r="G16" s="2"/>
      <c r="H16" s="2"/>
      <c r="I16" s="2"/>
      <c r="J16" s="2"/>
      <c r="K16" s="2"/>
      <c r="L16" s="2"/>
      <c r="M16" s="2"/>
    </row>
    <row r="17" spans="1:13" x14ac:dyDescent="0.25">
      <c r="A17" s="14" t="str">
        <f>+Config!H7</f>
        <v>I</v>
      </c>
      <c r="B17" s="15">
        <v>3</v>
      </c>
      <c r="C17" s="15">
        <v>1</v>
      </c>
      <c r="D17" s="15">
        <v>2</v>
      </c>
      <c r="E17" s="41" t="str">
        <f t="shared" si="0"/>
        <v>312</v>
      </c>
      <c r="F17" s="41" t="str">
        <f t="shared" si="1"/>
        <v>I</v>
      </c>
      <c r="G17" s="2"/>
      <c r="H17" s="2"/>
      <c r="I17" s="2"/>
      <c r="J17" s="2"/>
      <c r="K17" s="2"/>
      <c r="L17" s="2"/>
      <c r="M17" s="2"/>
    </row>
    <row r="18" spans="1:13" x14ac:dyDescent="0.25">
      <c r="A18" s="14" t="str">
        <f>+Config!H8</f>
        <v>-</v>
      </c>
      <c r="B18" s="15">
        <v>3</v>
      </c>
      <c r="C18" s="15">
        <v>2</v>
      </c>
      <c r="D18" s="15">
        <v>2</v>
      </c>
      <c r="E18" s="41" t="str">
        <f t="shared" si="0"/>
        <v>322</v>
      </c>
      <c r="F18" s="41" t="str">
        <f t="shared" si="1"/>
        <v>-</v>
      </c>
      <c r="G18" s="2"/>
    </row>
    <row r="19" spans="1:13" x14ac:dyDescent="0.25">
      <c r="A19" s="12" t="str">
        <f>+Config!H9</f>
        <v>Q</v>
      </c>
      <c r="B19" s="13">
        <v>3</v>
      </c>
      <c r="C19" s="13">
        <v>3</v>
      </c>
      <c r="D19" s="13">
        <v>2</v>
      </c>
      <c r="E19" s="41" t="str">
        <f t="shared" si="0"/>
        <v>332</v>
      </c>
      <c r="F19" s="41" t="str">
        <f t="shared" si="1"/>
        <v>Q</v>
      </c>
      <c r="G19" s="2"/>
    </row>
    <row r="20" spans="1:13" x14ac:dyDescent="0.25">
      <c r="A20" s="14" t="str">
        <f>+Config!J7</f>
        <v>Y</v>
      </c>
      <c r="B20" s="15">
        <v>1</v>
      </c>
      <c r="C20" s="15">
        <v>1</v>
      </c>
      <c r="D20" s="15">
        <v>3</v>
      </c>
      <c r="E20" s="41" t="str">
        <f t="shared" si="0"/>
        <v>113</v>
      </c>
      <c r="F20" s="41" t="str">
        <f t="shared" si="1"/>
        <v>Y</v>
      </c>
    </row>
    <row r="21" spans="1:13" x14ac:dyDescent="0.25">
      <c r="A21" s="14" t="str">
        <f>+Config!J8</f>
        <v>S</v>
      </c>
      <c r="B21" s="15">
        <v>1</v>
      </c>
      <c r="C21" s="15">
        <v>2</v>
      </c>
      <c r="D21" s="15">
        <v>3</v>
      </c>
      <c r="E21" s="41" t="str">
        <f t="shared" si="0"/>
        <v>123</v>
      </c>
      <c r="F21" s="41" t="str">
        <f t="shared" si="1"/>
        <v>S</v>
      </c>
    </row>
    <row r="22" spans="1:13" x14ac:dyDescent="0.25">
      <c r="A22" s="14" t="str">
        <f>+Config!J9</f>
        <v>X</v>
      </c>
      <c r="B22" s="15">
        <v>1</v>
      </c>
      <c r="C22" s="15">
        <v>3</v>
      </c>
      <c r="D22" s="15">
        <v>3</v>
      </c>
      <c r="E22" s="41" t="str">
        <f t="shared" si="0"/>
        <v>133</v>
      </c>
      <c r="F22" s="41" t="str">
        <f t="shared" si="1"/>
        <v>X</v>
      </c>
    </row>
    <row r="23" spans="1:13" x14ac:dyDescent="0.25">
      <c r="A23" s="14" t="str">
        <f>+Config!K7</f>
        <v>W</v>
      </c>
      <c r="B23" s="15">
        <v>2</v>
      </c>
      <c r="C23" s="15">
        <v>1</v>
      </c>
      <c r="D23" s="15">
        <v>3</v>
      </c>
      <c r="E23" s="41" t="str">
        <f t="shared" si="0"/>
        <v>213</v>
      </c>
      <c r="F23" s="41" t="str">
        <f t="shared" si="1"/>
        <v>W</v>
      </c>
    </row>
    <row r="24" spans="1:13" x14ac:dyDescent="0.25">
      <c r="A24" s="14" t="str">
        <f>+Config!K8</f>
        <v>Z</v>
      </c>
      <c r="B24" s="15">
        <v>2</v>
      </c>
      <c r="C24" s="15">
        <v>2</v>
      </c>
      <c r="D24" s="15">
        <v>3</v>
      </c>
      <c r="E24" s="41" t="str">
        <f t="shared" si="0"/>
        <v>223</v>
      </c>
      <c r="F24" s="41" t="str">
        <f t="shared" si="1"/>
        <v>Z</v>
      </c>
    </row>
    <row r="25" spans="1:13" x14ac:dyDescent="0.25">
      <c r="A25" s="14" t="str">
        <f>+Config!K9</f>
        <v>T</v>
      </c>
      <c r="B25" s="15">
        <v>2</v>
      </c>
      <c r="C25" s="15">
        <v>3</v>
      </c>
      <c r="D25" s="15">
        <v>3</v>
      </c>
      <c r="E25" s="41" t="str">
        <f t="shared" si="0"/>
        <v>233</v>
      </c>
      <c r="F25" s="41" t="str">
        <f t="shared" si="1"/>
        <v>T</v>
      </c>
    </row>
    <row r="26" spans="1:13" x14ac:dyDescent="0.25">
      <c r="A26" s="14" t="str">
        <f>+Config!L7</f>
        <v>U</v>
      </c>
      <c r="B26" s="15">
        <v>3</v>
      </c>
      <c r="C26" s="15">
        <v>1</v>
      </c>
      <c r="D26" s="15">
        <v>3</v>
      </c>
      <c r="E26" s="41" t="str">
        <f t="shared" si="0"/>
        <v>313</v>
      </c>
      <c r="F26" s="41" t="str">
        <f t="shared" si="1"/>
        <v>U</v>
      </c>
    </row>
    <row r="27" spans="1:13" x14ac:dyDescent="0.25">
      <c r="A27" s="14" t="str">
        <f>+Config!L8</f>
        <v>V</v>
      </c>
      <c r="B27" s="15">
        <v>3</v>
      </c>
      <c r="C27" s="15">
        <v>2</v>
      </c>
      <c r="D27" s="15">
        <v>3</v>
      </c>
      <c r="E27" s="41" t="str">
        <f t="shared" si="0"/>
        <v>323</v>
      </c>
      <c r="F27" s="41" t="str">
        <f t="shared" si="1"/>
        <v>V</v>
      </c>
    </row>
    <row r="28" spans="1:13" x14ac:dyDescent="0.25">
      <c r="A28" s="12" t="str">
        <f>+Config!L9</f>
        <v>R</v>
      </c>
      <c r="B28" s="13">
        <v>3</v>
      </c>
      <c r="C28" s="13">
        <v>3</v>
      </c>
      <c r="D28" s="13">
        <v>3</v>
      </c>
      <c r="E28" s="41" t="str">
        <f t="shared" si="0"/>
        <v>333</v>
      </c>
      <c r="F28" s="41" t="str">
        <f t="shared" si="1"/>
        <v>R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B869E-8A63-4FD2-BD89-36E7AE5266AE}">
  <sheetPr codeName="Hoja3">
    <tabColor theme="7" tint="0.59999389629810485"/>
  </sheetPr>
  <dimension ref="A1:O28"/>
  <sheetViews>
    <sheetView workbookViewId="0">
      <selection activeCell="H7" sqref="H7"/>
    </sheetView>
  </sheetViews>
  <sheetFormatPr baseColWidth="10" defaultColWidth="3.7109375" defaultRowHeight="15" x14ac:dyDescent="0.25"/>
  <cols>
    <col min="1" max="1" width="6.28515625" style="11" bestFit="1" customWidth="1"/>
    <col min="2" max="16384" width="3.7109375" style="11"/>
  </cols>
  <sheetData>
    <row r="1" spans="1:15" x14ac:dyDescent="0.25">
      <c r="A1" s="40" t="s">
        <v>30</v>
      </c>
      <c r="B1" s="24" t="s">
        <v>27</v>
      </c>
      <c r="C1" s="24" t="s">
        <v>21</v>
      </c>
      <c r="D1" s="24" t="s">
        <v>25</v>
      </c>
      <c r="E1" s="24"/>
      <c r="F1" s="24"/>
      <c r="G1" s="2"/>
      <c r="H1" s="2"/>
      <c r="I1" s="2"/>
      <c r="J1" s="2"/>
      <c r="K1" s="2"/>
      <c r="L1" s="2"/>
      <c r="M1" s="2"/>
    </row>
    <row r="2" spans="1:15" x14ac:dyDescent="0.25">
      <c r="A2" s="18" t="str">
        <f>+Config!B11</f>
        <v>B</v>
      </c>
      <c r="B2" s="19">
        <v>1</v>
      </c>
      <c r="C2" s="19">
        <v>1</v>
      </c>
      <c r="D2" s="19">
        <v>1</v>
      </c>
      <c r="E2" s="24" t="str">
        <f>+B2&amp;C2&amp;D2</f>
        <v>111</v>
      </c>
      <c r="F2" s="24" t="str">
        <f>+A2</f>
        <v>B</v>
      </c>
      <c r="G2" s="2"/>
      <c r="H2" s="2"/>
      <c r="I2" s="2"/>
      <c r="J2" s="2"/>
      <c r="K2" s="2"/>
      <c r="L2" s="2"/>
      <c r="M2" s="2"/>
    </row>
    <row r="3" spans="1:15" x14ac:dyDescent="0.25">
      <c r="A3" s="18" t="str">
        <f>+Config!B12</f>
        <v>I</v>
      </c>
      <c r="B3" s="19">
        <v>1</v>
      </c>
      <c r="C3" s="19">
        <v>2</v>
      </c>
      <c r="D3" s="19">
        <v>1</v>
      </c>
      <c r="E3" s="24" t="str">
        <f t="shared" ref="E3:E28" si="0">+B3&amp;C3&amp;D3</f>
        <v>121</v>
      </c>
      <c r="F3" s="24" t="str">
        <f t="shared" ref="F3:F28" si="1">+A3</f>
        <v>I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18" t="str">
        <f>+Config!B13</f>
        <v>-</v>
      </c>
      <c r="B4" s="19">
        <v>1</v>
      </c>
      <c r="C4" s="19">
        <v>3</v>
      </c>
      <c r="D4" s="19">
        <v>1</v>
      </c>
      <c r="E4" s="24" t="str">
        <f t="shared" si="0"/>
        <v>131</v>
      </c>
      <c r="F4" s="24" t="str">
        <f t="shared" si="1"/>
        <v>-</v>
      </c>
      <c r="G4" s="2"/>
      <c r="H4" s="2"/>
      <c r="I4" s="2"/>
      <c r="J4" s="2"/>
      <c r="K4" s="2"/>
      <c r="L4" s="2"/>
      <c r="M4" s="2"/>
      <c r="O4" s="2"/>
    </row>
    <row r="5" spans="1:15" x14ac:dyDescent="0.25">
      <c r="A5" s="18" t="str">
        <f>+Config!C11</f>
        <v>G</v>
      </c>
      <c r="B5" s="19">
        <v>2</v>
      </c>
      <c r="C5" s="19">
        <v>1</v>
      </c>
      <c r="D5" s="19">
        <v>1</v>
      </c>
      <c r="E5" s="24" t="str">
        <f t="shared" si="0"/>
        <v>211</v>
      </c>
      <c r="F5" s="24" t="str">
        <f t="shared" si="1"/>
        <v>G</v>
      </c>
      <c r="G5" s="2"/>
      <c r="H5" s="2"/>
      <c r="I5" s="2"/>
      <c r="J5" s="2"/>
      <c r="K5" s="2"/>
      <c r="L5" s="2"/>
      <c r="M5" s="2"/>
    </row>
    <row r="6" spans="1:15" x14ac:dyDescent="0.25">
      <c r="A6" s="18" t="str">
        <f>+Config!C12</f>
        <v>A</v>
      </c>
      <c r="B6" s="19">
        <v>2</v>
      </c>
      <c r="C6" s="19">
        <v>2</v>
      </c>
      <c r="D6" s="19">
        <v>1</v>
      </c>
      <c r="E6" s="24" t="str">
        <f t="shared" si="0"/>
        <v>221</v>
      </c>
      <c r="F6" s="24" t="str">
        <f t="shared" si="1"/>
        <v>A</v>
      </c>
      <c r="G6" s="2"/>
      <c r="H6" s="2"/>
      <c r="I6" s="2"/>
      <c r="J6" s="2"/>
      <c r="K6" s="2"/>
      <c r="L6" s="2"/>
      <c r="M6" s="2"/>
    </row>
    <row r="7" spans="1:15" x14ac:dyDescent="0.25">
      <c r="A7" s="18" t="str">
        <f>+Config!C13</f>
        <v>L</v>
      </c>
      <c r="B7" s="19">
        <v>2</v>
      </c>
      <c r="C7" s="19">
        <v>3</v>
      </c>
      <c r="D7" s="19">
        <v>1</v>
      </c>
      <c r="E7" s="24" t="str">
        <f t="shared" si="0"/>
        <v>231</v>
      </c>
      <c r="F7" s="24" t="str">
        <f t="shared" si="1"/>
        <v>L</v>
      </c>
      <c r="G7" s="2"/>
      <c r="H7" s="2"/>
      <c r="I7" s="2"/>
      <c r="J7" s="2"/>
      <c r="K7" s="2"/>
      <c r="L7" s="2"/>
      <c r="M7" s="2"/>
      <c r="O7" s="2"/>
    </row>
    <row r="8" spans="1:15" x14ac:dyDescent="0.25">
      <c r="A8" s="18" t="str">
        <f>+Config!D11</f>
        <v>J</v>
      </c>
      <c r="B8" s="19">
        <v>3</v>
      </c>
      <c r="C8" s="19">
        <v>1</v>
      </c>
      <c r="D8" s="19">
        <v>1</v>
      </c>
      <c r="E8" s="24" t="str">
        <f t="shared" si="0"/>
        <v>311</v>
      </c>
      <c r="F8" s="24" t="str">
        <f t="shared" si="1"/>
        <v>J</v>
      </c>
      <c r="G8" s="2"/>
      <c r="H8" s="2"/>
      <c r="I8" s="2"/>
      <c r="J8" s="2"/>
      <c r="K8" s="2"/>
      <c r="L8" s="2"/>
      <c r="M8" s="2"/>
      <c r="O8" s="2"/>
    </row>
    <row r="9" spans="1:15" x14ac:dyDescent="0.25">
      <c r="A9" s="18" t="str">
        <f>+Config!D12</f>
        <v>D</v>
      </c>
      <c r="B9" s="19">
        <v>3</v>
      </c>
      <c r="C9" s="19">
        <v>2</v>
      </c>
      <c r="D9" s="19">
        <v>1</v>
      </c>
      <c r="E9" s="24" t="str">
        <f t="shared" si="0"/>
        <v>321</v>
      </c>
      <c r="F9" s="24" t="str">
        <f t="shared" si="1"/>
        <v>D</v>
      </c>
      <c r="G9" s="2"/>
      <c r="H9" s="2"/>
      <c r="I9" s="2"/>
      <c r="J9" s="2"/>
      <c r="K9" s="2"/>
      <c r="L9" s="2"/>
      <c r="M9" s="2"/>
    </row>
    <row r="10" spans="1:15" x14ac:dyDescent="0.25">
      <c r="A10" s="16" t="str">
        <f>+Config!D13</f>
        <v>C</v>
      </c>
      <c r="B10" s="17">
        <v>3</v>
      </c>
      <c r="C10" s="17">
        <v>3</v>
      </c>
      <c r="D10" s="17">
        <v>1</v>
      </c>
      <c r="E10" s="24" t="str">
        <f t="shared" si="0"/>
        <v>331</v>
      </c>
      <c r="F10" s="24" t="str">
        <f t="shared" si="1"/>
        <v>C</v>
      </c>
      <c r="G10" s="2"/>
      <c r="H10" s="2"/>
      <c r="I10" s="2"/>
      <c r="J10" s="2"/>
      <c r="K10" s="2"/>
      <c r="L10" s="2"/>
      <c r="M10" s="2"/>
    </row>
    <row r="11" spans="1:15" x14ac:dyDescent="0.25">
      <c r="A11" s="18" t="str">
        <f>+Config!F11</f>
        <v>E</v>
      </c>
      <c r="B11" s="19">
        <v>1</v>
      </c>
      <c r="C11" s="19">
        <v>1</v>
      </c>
      <c r="D11" s="19">
        <v>2</v>
      </c>
      <c r="E11" s="24" t="str">
        <f t="shared" si="0"/>
        <v>112</v>
      </c>
      <c r="F11" s="24" t="str">
        <f t="shared" si="1"/>
        <v>E</v>
      </c>
      <c r="G11" s="2"/>
      <c r="H11" s="2"/>
      <c r="I11" s="2"/>
      <c r="J11" s="2"/>
      <c r="K11" s="2"/>
      <c r="L11" s="2"/>
      <c r="M11" s="2"/>
    </row>
    <row r="12" spans="1:15" x14ac:dyDescent="0.25">
      <c r="A12" s="18" t="str">
        <f>+Config!F12</f>
        <v>N</v>
      </c>
      <c r="B12" s="19">
        <v>1</v>
      </c>
      <c r="C12" s="19">
        <v>2</v>
      </c>
      <c r="D12" s="19">
        <v>2</v>
      </c>
      <c r="E12" s="24" t="str">
        <f t="shared" si="0"/>
        <v>122</v>
      </c>
      <c r="F12" s="24" t="str">
        <f t="shared" si="1"/>
        <v>N</v>
      </c>
      <c r="G12" s="2"/>
      <c r="H12" s="2"/>
      <c r="I12" s="2"/>
      <c r="J12" s="2"/>
      <c r="K12" s="2"/>
      <c r="L12" s="2"/>
      <c r="M12" s="2"/>
    </row>
    <row r="13" spans="1:15" x14ac:dyDescent="0.25">
      <c r="A13" s="18" t="str">
        <f>+Config!F13</f>
        <v>V</v>
      </c>
      <c r="B13" s="19">
        <v>1</v>
      </c>
      <c r="C13" s="19">
        <v>3</v>
      </c>
      <c r="D13" s="19">
        <v>2</v>
      </c>
      <c r="E13" s="24" t="str">
        <f t="shared" si="0"/>
        <v>132</v>
      </c>
      <c r="F13" s="24" t="str">
        <f t="shared" si="1"/>
        <v>V</v>
      </c>
      <c r="G13" s="2"/>
      <c r="H13" s="2"/>
      <c r="I13" s="2"/>
      <c r="J13" s="2"/>
      <c r="K13" s="2"/>
      <c r="L13" s="2"/>
      <c r="M13" s="2"/>
    </row>
    <row r="14" spans="1:15" x14ac:dyDescent="0.25">
      <c r="A14" s="18" t="str">
        <f>+Config!G11</f>
        <v>K</v>
      </c>
      <c r="B14" s="19">
        <v>2</v>
      </c>
      <c r="C14" s="19">
        <v>1</v>
      </c>
      <c r="D14" s="19">
        <v>2</v>
      </c>
      <c r="E14" s="24" t="str">
        <f t="shared" si="0"/>
        <v>212</v>
      </c>
      <c r="F14" s="24" t="str">
        <f t="shared" si="1"/>
        <v>K</v>
      </c>
      <c r="G14" s="2"/>
      <c r="H14" s="2"/>
      <c r="I14" s="2"/>
      <c r="J14" s="2"/>
      <c r="K14" s="2"/>
      <c r="L14" s="2"/>
      <c r="M14" s="2"/>
    </row>
    <row r="15" spans="1:15" x14ac:dyDescent="0.25">
      <c r="A15" s="18" t="str">
        <f>+Config!G12</f>
        <v>H</v>
      </c>
      <c r="B15" s="19">
        <v>2</v>
      </c>
      <c r="C15" s="19">
        <v>2</v>
      </c>
      <c r="D15" s="19">
        <v>2</v>
      </c>
      <c r="E15" s="24" t="str">
        <f t="shared" si="0"/>
        <v>222</v>
      </c>
      <c r="F15" s="24" t="str">
        <f t="shared" si="1"/>
        <v>H</v>
      </c>
      <c r="G15" s="2"/>
      <c r="H15" s="2"/>
      <c r="I15" s="2"/>
      <c r="J15" s="2"/>
      <c r="K15" s="2"/>
      <c r="L15" s="2"/>
      <c r="M15" s="2"/>
    </row>
    <row r="16" spans="1:15" x14ac:dyDescent="0.25">
      <c r="A16" s="18" t="str">
        <f>+Config!G13</f>
        <v>Y</v>
      </c>
      <c r="B16" s="19">
        <v>2</v>
      </c>
      <c r="C16" s="19">
        <v>3</v>
      </c>
      <c r="D16" s="19">
        <v>2</v>
      </c>
      <c r="E16" s="24" t="str">
        <f t="shared" si="0"/>
        <v>232</v>
      </c>
      <c r="F16" s="24" t="str">
        <f t="shared" si="1"/>
        <v>Y</v>
      </c>
      <c r="G16" s="2"/>
      <c r="H16" s="2"/>
      <c r="I16" s="2"/>
      <c r="J16" s="2"/>
      <c r="K16" s="2"/>
      <c r="L16" s="2"/>
      <c r="M16" s="2"/>
    </row>
    <row r="17" spans="1:13" x14ac:dyDescent="0.25">
      <c r="A17" s="18" t="str">
        <f>+Config!H11</f>
        <v>M</v>
      </c>
      <c r="B17" s="19">
        <v>3</v>
      </c>
      <c r="C17" s="19">
        <v>1</v>
      </c>
      <c r="D17" s="19">
        <v>2</v>
      </c>
      <c r="E17" s="24" t="str">
        <f t="shared" si="0"/>
        <v>312</v>
      </c>
      <c r="F17" s="24" t="str">
        <f t="shared" si="1"/>
        <v>M</v>
      </c>
      <c r="G17" s="2"/>
      <c r="H17" s="2"/>
      <c r="I17" s="2"/>
      <c r="J17" s="2"/>
      <c r="K17" s="2"/>
      <c r="L17" s="2"/>
      <c r="M17" s="2"/>
    </row>
    <row r="18" spans="1:13" x14ac:dyDescent="0.25">
      <c r="A18" s="18" t="str">
        <f>+Config!H12</f>
        <v>F</v>
      </c>
      <c r="B18" s="19">
        <v>3</v>
      </c>
      <c r="C18" s="19">
        <v>2</v>
      </c>
      <c r="D18" s="19">
        <v>2</v>
      </c>
      <c r="E18" s="24" t="str">
        <f t="shared" si="0"/>
        <v>322</v>
      </c>
      <c r="F18" s="24" t="str">
        <f t="shared" si="1"/>
        <v>F</v>
      </c>
      <c r="G18" s="2"/>
    </row>
    <row r="19" spans="1:13" x14ac:dyDescent="0.25">
      <c r="A19" s="16" t="str">
        <f>+Config!H13</f>
        <v>Q</v>
      </c>
      <c r="B19" s="17">
        <v>3</v>
      </c>
      <c r="C19" s="17">
        <v>3</v>
      </c>
      <c r="D19" s="17">
        <v>2</v>
      </c>
      <c r="E19" s="24" t="str">
        <f t="shared" si="0"/>
        <v>332</v>
      </c>
      <c r="F19" s="24" t="str">
        <f t="shared" si="1"/>
        <v>Q</v>
      </c>
      <c r="G19" s="2"/>
    </row>
    <row r="20" spans="1:13" x14ac:dyDescent="0.25">
      <c r="A20" s="18" t="str">
        <f>+Config!J11</f>
        <v>S</v>
      </c>
      <c r="B20" s="19">
        <v>1</v>
      </c>
      <c r="C20" s="19">
        <v>1</v>
      </c>
      <c r="D20" s="19">
        <v>3</v>
      </c>
      <c r="E20" s="24" t="str">
        <f t="shared" si="0"/>
        <v>113</v>
      </c>
      <c r="F20" s="24" t="str">
        <f t="shared" si="1"/>
        <v>S</v>
      </c>
    </row>
    <row r="21" spans="1:13" x14ac:dyDescent="0.25">
      <c r="A21" s="18" t="str">
        <f>+Config!J12</f>
        <v>W</v>
      </c>
      <c r="B21" s="19">
        <v>1</v>
      </c>
      <c r="C21" s="19">
        <v>2</v>
      </c>
      <c r="D21" s="19">
        <v>3</v>
      </c>
      <c r="E21" s="24" t="str">
        <f t="shared" si="0"/>
        <v>123</v>
      </c>
      <c r="F21" s="24" t="str">
        <f t="shared" si="1"/>
        <v>W</v>
      </c>
    </row>
    <row r="22" spans="1:13" x14ac:dyDescent="0.25">
      <c r="A22" s="18" t="str">
        <f>+Config!J13</f>
        <v>O</v>
      </c>
      <c r="B22" s="19">
        <v>1</v>
      </c>
      <c r="C22" s="19">
        <v>3</v>
      </c>
      <c r="D22" s="19">
        <v>3</v>
      </c>
      <c r="E22" s="24" t="str">
        <f t="shared" si="0"/>
        <v>133</v>
      </c>
      <c r="F22" s="24" t="str">
        <f t="shared" si="1"/>
        <v>O</v>
      </c>
    </row>
    <row r="23" spans="1:13" x14ac:dyDescent="0.25">
      <c r="A23" s="18" t="str">
        <f>+Config!K11</f>
        <v>T</v>
      </c>
      <c r="B23" s="19">
        <v>2</v>
      </c>
      <c r="C23" s="19">
        <v>1</v>
      </c>
      <c r="D23" s="19">
        <v>3</v>
      </c>
      <c r="E23" s="24" t="str">
        <f t="shared" si="0"/>
        <v>213</v>
      </c>
      <c r="F23" s="24" t="str">
        <f t="shared" si="1"/>
        <v>T</v>
      </c>
    </row>
    <row r="24" spans="1:13" x14ac:dyDescent="0.25">
      <c r="A24" s="18" t="str">
        <f>+Config!K12</f>
        <v>P</v>
      </c>
      <c r="B24" s="19">
        <v>2</v>
      </c>
      <c r="C24" s="19">
        <v>2</v>
      </c>
      <c r="D24" s="19">
        <v>3</v>
      </c>
      <c r="E24" s="24" t="str">
        <f t="shared" si="0"/>
        <v>223</v>
      </c>
      <c r="F24" s="24" t="str">
        <f t="shared" si="1"/>
        <v>P</v>
      </c>
    </row>
    <row r="25" spans="1:13" x14ac:dyDescent="0.25">
      <c r="A25" s="18" t="str">
        <f>+Config!K13</f>
        <v>R</v>
      </c>
      <c r="B25" s="19">
        <v>2</v>
      </c>
      <c r="C25" s="19">
        <v>3</v>
      </c>
      <c r="D25" s="19">
        <v>3</v>
      </c>
      <c r="E25" s="24" t="str">
        <f t="shared" si="0"/>
        <v>233</v>
      </c>
      <c r="F25" s="24" t="str">
        <f t="shared" si="1"/>
        <v>R</v>
      </c>
    </row>
    <row r="26" spans="1:13" x14ac:dyDescent="0.25">
      <c r="A26" s="18" t="str">
        <f>+Config!L11</f>
        <v>X</v>
      </c>
      <c r="B26" s="19">
        <v>3</v>
      </c>
      <c r="C26" s="19">
        <v>1</v>
      </c>
      <c r="D26" s="19">
        <v>3</v>
      </c>
      <c r="E26" s="24" t="str">
        <f t="shared" si="0"/>
        <v>313</v>
      </c>
      <c r="F26" s="24" t="str">
        <f t="shared" si="1"/>
        <v>X</v>
      </c>
    </row>
    <row r="27" spans="1:13" x14ac:dyDescent="0.25">
      <c r="A27" s="18" t="str">
        <f>+Config!L12</f>
        <v>Z</v>
      </c>
      <c r="B27" s="19">
        <v>3</v>
      </c>
      <c r="C27" s="19">
        <v>2</v>
      </c>
      <c r="D27" s="19">
        <v>3</v>
      </c>
      <c r="E27" s="24" t="str">
        <f t="shared" si="0"/>
        <v>323</v>
      </c>
      <c r="F27" s="24" t="str">
        <f t="shared" si="1"/>
        <v>Z</v>
      </c>
    </row>
    <row r="28" spans="1:13" x14ac:dyDescent="0.25">
      <c r="A28" s="16" t="str">
        <f>+Config!L13</f>
        <v>U</v>
      </c>
      <c r="B28" s="17">
        <v>3</v>
      </c>
      <c r="C28" s="17">
        <v>3</v>
      </c>
      <c r="D28" s="17">
        <v>3</v>
      </c>
      <c r="E28" s="24" t="str">
        <f t="shared" si="0"/>
        <v>333</v>
      </c>
      <c r="F28" s="24" t="str">
        <f t="shared" si="1"/>
        <v>U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05247-CFC2-4B1E-919B-E7AC54F5DFF5}">
  <sheetPr codeName="Hoja4">
    <tabColor theme="4" tint="0.59999389629810485"/>
  </sheetPr>
  <dimension ref="A1:O28"/>
  <sheetViews>
    <sheetView workbookViewId="0">
      <selection activeCell="J16" sqref="J16"/>
    </sheetView>
  </sheetViews>
  <sheetFormatPr baseColWidth="10" defaultColWidth="3.7109375" defaultRowHeight="15" x14ac:dyDescent="0.25"/>
  <cols>
    <col min="1" max="1" width="6.28515625" style="11" bestFit="1" customWidth="1"/>
    <col min="2" max="16384" width="3.7109375" style="11"/>
  </cols>
  <sheetData>
    <row r="1" spans="1:15" x14ac:dyDescent="0.25">
      <c r="A1" s="39" t="s">
        <v>30</v>
      </c>
      <c r="B1" s="25" t="s">
        <v>27</v>
      </c>
      <c r="C1" s="25" t="s">
        <v>21</v>
      </c>
      <c r="D1" s="25" t="s">
        <v>25</v>
      </c>
      <c r="E1" s="25"/>
      <c r="F1" s="25"/>
      <c r="G1" s="2"/>
      <c r="H1" s="2"/>
      <c r="I1" s="2"/>
      <c r="J1" s="2"/>
      <c r="K1" s="2"/>
      <c r="L1" s="2"/>
      <c r="M1" s="2"/>
    </row>
    <row r="2" spans="1:15" x14ac:dyDescent="0.25">
      <c r="A2" s="22" t="str">
        <f>+Config!B15</f>
        <v>N</v>
      </c>
      <c r="B2" s="23">
        <v>1</v>
      </c>
      <c r="C2" s="23">
        <v>1</v>
      </c>
      <c r="D2" s="23">
        <v>1</v>
      </c>
      <c r="E2" s="25" t="str">
        <f>+B2&amp;C2&amp;D2</f>
        <v>111</v>
      </c>
      <c r="F2" s="25" t="str">
        <f>+A2</f>
        <v>N</v>
      </c>
      <c r="G2" s="2"/>
      <c r="H2" s="2"/>
      <c r="I2" s="2"/>
      <c r="J2" s="2"/>
      <c r="K2" s="2"/>
      <c r="L2" s="2"/>
      <c r="M2" s="2"/>
    </row>
    <row r="3" spans="1:15" x14ac:dyDescent="0.25">
      <c r="A3" s="22" t="str">
        <f>+Config!B16</f>
        <v>L</v>
      </c>
      <c r="B3" s="23">
        <v>1</v>
      </c>
      <c r="C3" s="23">
        <v>2</v>
      </c>
      <c r="D3" s="23">
        <v>1</v>
      </c>
      <c r="E3" s="25" t="str">
        <f t="shared" ref="E3:E28" si="0">+B3&amp;C3&amp;D3</f>
        <v>121</v>
      </c>
      <c r="F3" s="25" t="str">
        <f t="shared" ref="F3:F28" si="1">+A3</f>
        <v>L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22" t="str">
        <f>+Config!B17</f>
        <v>M</v>
      </c>
      <c r="B4" s="23">
        <v>1</v>
      </c>
      <c r="C4" s="23">
        <v>3</v>
      </c>
      <c r="D4" s="23">
        <v>1</v>
      </c>
      <c r="E4" s="25" t="str">
        <f t="shared" si="0"/>
        <v>131</v>
      </c>
      <c r="F4" s="25" t="str">
        <f t="shared" si="1"/>
        <v>M</v>
      </c>
      <c r="G4" s="2"/>
      <c r="H4" s="2"/>
      <c r="I4" s="2"/>
      <c r="J4" s="2"/>
      <c r="K4" s="2"/>
      <c r="L4" s="2"/>
      <c r="M4" s="2"/>
      <c r="O4" s="2"/>
    </row>
    <row r="5" spans="1:15" x14ac:dyDescent="0.25">
      <c r="A5" s="22" t="str">
        <f>+Config!C15</f>
        <v>H</v>
      </c>
      <c r="B5" s="23">
        <v>2</v>
      </c>
      <c r="C5" s="23">
        <v>1</v>
      </c>
      <c r="D5" s="23">
        <v>1</v>
      </c>
      <c r="E5" s="25" t="str">
        <f t="shared" si="0"/>
        <v>211</v>
      </c>
      <c r="F5" s="25" t="str">
        <f t="shared" si="1"/>
        <v>H</v>
      </c>
      <c r="G5" s="2"/>
      <c r="H5" s="2"/>
      <c r="I5" s="2"/>
      <c r="J5" s="2"/>
      <c r="K5" s="2"/>
      <c r="L5" s="2"/>
      <c r="M5" s="2"/>
    </row>
    <row r="6" spans="1:15" x14ac:dyDescent="0.25">
      <c r="A6" s="22" t="str">
        <f>+Config!C16</f>
        <v>J</v>
      </c>
      <c r="B6" s="23">
        <v>2</v>
      </c>
      <c r="C6" s="23">
        <v>2</v>
      </c>
      <c r="D6" s="23">
        <v>1</v>
      </c>
      <c r="E6" s="25" t="str">
        <f t="shared" si="0"/>
        <v>221</v>
      </c>
      <c r="F6" s="25" t="str">
        <f t="shared" si="1"/>
        <v>J</v>
      </c>
      <c r="G6" s="2"/>
      <c r="H6" s="2"/>
      <c r="I6" s="2"/>
      <c r="J6" s="2"/>
      <c r="K6" s="2"/>
      <c r="L6" s="2"/>
      <c r="M6" s="2"/>
    </row>
    <row r="7" spans="1:15" x14ac:dyDescent="0.25">
      <c r="A7" s="22" t="str">
        <f>+Config!C17</f>
        <v>G</v>
      </c>
      <c r="B7" s="23">
        <v>2</v>
      </c>
      <c r="C7" s="23">
        <v>3</v>
      </c>
      <c r="D7" s="23">
        <v>1</v>
      </c>
      <c r="E7" s="25" t="str">
        <f t="shared" si="0"/>
        <v>231</v>
      </c>
      <c r="F7" s="25" t="str">
        <f t="shared" si="1"/>
        <v>G</v>
      </c>
      <c r="G7" s="2"/>
      <c r="H7" s="2"/>
      <c r="I7" s="2"/>
      <c r="J7" s="2"/>
      <c r="K7" s="2"/>
      <c r="L7" s="2"/>
      <c r="M7" s="2"/>
      <c r="O7" s="2"/>
    </row>
    <row r="8" spans="1:15" x14ac:dyDescent="0.25">
      <c r="A8" s="22" t="str">
        <f>+Config!D15</f>
        <v>I</v>
      </c>
      <c r="B8" s="23">
        <v>3</v>
      </c>
      <c r="C8" s="23">
        <v>1</v>
      </c>
      <c r="D8" s="23">
        <v>1</v>
      </c>
      <c r="E8" s="25" t="str">
        <f t="shared" si="0"/>
        <v>311</v>
      </c>
      <c r="F8" s="25" t="str">
        <f t="shared" si="1"/>
        <v>I</v>
      </c>
      <c r="G8" s="2"/>
      <c r="H8" s="2"/>
      <c r="I8" s="2"/>
      <c r="J8" s="2"/>
      <c r="K8" s="2"/>
      <c r="L8" s="2"/>
      <c r="M8" s="2"/>
      <c r="O8" s="2"/>
    </row>
    <row r="9" spans="1:15" x14ac:dyDescent="0.25">
      <c r="A9" s="22" t="str">
        <f>+Config!D16</f>
        <v>K</v>
      </c>
      <c r="B9" s="23">
        <v>3</v>
      </c>
      <c r="C9" s="23">
        <v>2</v>
      </c>
      <c r="D9" s="23">
        <v>1</v>
      </c>
      <c r="E9" s="25" t="str">
        <f t="shared" si="0"/>
        <v>321</v>
      </c>
      <c r="F9" s="25" t="str">
        <f t="shared" si="1"/>
        <v>K</v>
      </c>
      <c r="G9" s="2"/>
      <c r="H9" s="2"/>
      <c r="I9" s="2"/>
      <c r="J9" s="2"/>
      <c r="K9" s="2"/>
      <c r="L9" s="2"/>
      <c r="M9" s="2"/>
    </row>
    <row r="10" spans="1:15" x14ac:dyDescent="0.25">
      <c r="A10" s="20" t="str">
        <f>+Config!D17</f>
        <v>C</v>
      </c>
      <c r="B10" s="21">
        <v>3</v>
      </c>
      <c r="C10" s="21">
        <v>3</v>
      </c>
      <c r="D10" s="21">
        <v>1</v>
      </c>
      <c r="E10" s="25" t="str">
        <f t="shared" si="0"/>
        <v>331</v>
      </c>
      <c r="F10" s="25" t="str">
        <f t="shared" si="1"/>
        <v>C</v>
      </c>
      <c r="G10" s="2"/>
      <c r="H10" s="2"/>
      <c r="I10" s="2"/>
      <c r="J10" s="2"/>
      <c r="K10" s="2"/>
      <c r="L10" s="2"/>
      <c r="M10" s="2"/>
    </row>
    <row r="11" spans="1:15" x14ac:dyDescent="0.25">
      <c r="A11" s="22" t="str">
        <f>+Config!F15</f>
        <v>B</v>
      </c>
      <c r="B11" s="23">
        <v>1</v>
      </c>
      <c r="C11" s="23">
        <v>1</v>
      </c>
      <c r="D11" s="23">
        <v>2</v>
      </c>
      <c r="E11" s="25" t="str">
        <f t="shared" si="0"/>
        <v>112</v>
      </c>
      <c r="F11" s="25" t="str">
        <f t="shared" si="1"/>
        <v>B</v>
      </c>
      <c r="G11" s="2"/>
      <c r="H11" s="2"/>
      <c r="I11" s="2"/>
      <c r="J11" s="2"/>
      <c r="K11" s="2"/>
      <c r="L11" s="2"/>
      <c r="M11" s="2"/>
    </row>
    <row r="12" spans="1:15" x14ac:dyDescent="0.25">
      <c r="A12" s="22" t="str">
        <f>+Config!F16</f>
        <v>E</v>
      </c>
      <c r="B12" s="23">
        <v>1</v>
      </c>
      <c r="C12" s="23">
        <v>2</v>
      </c>
      <c r="D12" s="23">
        <v>2</v>
      </c>
      <c r="E12" s="25" t="str">
        <f t="shared" si="0"/>
        <v>122</v>
      </c>
      <c r="F12" s="25" t="str">
        <f t="shared" si="1"/>
        <v>E</v>
      </c>
      <c r="G12" s="2"/>
      <c r="H12" s="2"/>
      <c r="I12" s="2"/>
      <c r="J12" s="2"/>
      <c r="K12" s="2"/>
      <c r="L12" s="2"/>
      <c r="M12" s="2"/>
    </row>
    <row r="13" spans="1:15" x14ac:dyDescent="0.25">
      <c r="A13" s="22" t="str">
        <f>+Config!F17</f>
        <v>S</v>
      </c>
      <c r="B13" s="23">
        <v>1</v>
      </c>
      <c r="C13" s="23">
        <v>3</v>
      </c>
      <c r="D13" s="23">
        <v>2</v>
      </c>
      <c r="E13" s="25" t="str">
        <f t="shared" si="0"/>
        <v>132</v>
      </c>
      <c r="F13" s="25" t="str">
        <f t="shared" si="1"/>
        <v>S</v>
      </c>
      <c r="G13" s="2"/>
      <c r="H13" s="2"/>
      <c r="I13" s="2"/>
      <c r="J13" s="2"/>
      <c r="K13" s="2"/>
      <c r="L13" s="2"/>
      <c r="M13" s="2"/>
    </row>
    <row r="14" spans="1:15" x14ac:dyDescent="0.25">
      <c r="A14" s="22" t="str">
        <f>+Config!G15</f>
        <v>D</v>
      </c>
      <c r="B14" s="23">
        <v>2</v>
      </c>
      <c r="C14" s="23">
        <v>1</v>
      </c>
      <c r="D14" s="23">
        <v>2</v>
      </c>
      <c r="E14" s="25" t="str">
        <f t="shared" si="0"/>
        <v>212</v>
      </c>
      <c r="F14" s="25" t="str">
        <f t="shared" si="1"/>
        <v>D</v>
      </c>
      <c r="G14" s="2"/>
      <c r="H14" s="2"/>
      <c r="I14" s="2"/>
      <c r="J14" s="2"/>
      <c r="K14" s="2"/>
      <c r="L14" s="2"/>
      <c r="M14" s="2"/>
    </row>
    <row r="15" spans="1:15" x14ac:dyDescent="0.25">
      <c r="A15" s="22" t="str">
        <f>+Config!G16</f>
        <v>F</v>
      </c>
      <c r="B15" s="23">
        <v>2</v>
      </c>
      <c r="C15" s="23">
        <v>2</v>
      </c>
      <c r="D15" s="23">
        <v>2</v>
      </c>
      <c r="E15" s="25" t="str">
        <f t="shared" si="0"/>
        <v>222</v>
      </c>
      <c r="F15" s="25" t="str">
        <f t="shared" si="1"/>
        <v>F</v>
      </c>
      <c r="G15" s="2"/>
      <c r="H15" s="2"/>
      <c r="I15" s="2"/>
      <c r="J15" s="2"/>
      <c r="K15" s="2"/>
      <c r="L15" s="2"/>
      <c r="M15" s="2"/>
    </row>
    <row r="16" spans="1:15" x14ac:dyDescent="0.25">
      <c r="A16" s="22" t="str">
        <f>+Config!G17</f>
        <v>Q</v>
      </c>
      <c r="B16" s="23">
        <v>2</v>
      </c>
      <c r="C16" s="23">
        <v>3</v>
      </c>
      <c r="D16" s="23">
        <v>2</v>
      </c>
      <c r="E16" s="25" t="str">
        <f t="shared" si="0"/>
        <v>232</v>
      </c>
      <c r="F16" s="25" t="str">
        <f t="shared" si="1"/>
        <v>Q</v>
      </c>
      <c r="G16" s="2"/>
      <c r="H16" s="2"/>
      <c r="I16" s="2"/>
      <c r="J16" s="2"/>
      <c r="K16" s="2"/>
      <c r="L16" s="2"/>
      <c r="M16" s="2"/>
    </row>
    <row r="17" spans="1:13" x14ac:dyDescent="0.25">
      <c r="A17" s="22" t="str">
        <f>+Config!H15</f>
        <v>-</v>
      </c>
      <c r="B17" s="23">
        <v>3</v>
      </c>
      <c r="C17" s="23">
        <v>1</v>
      </c>
      <c r="D17" s="23">
        <v>2</v>
      </c>
      <c r="E17" s="25" t="str">
        <f t="shared" si="0"/>
        <v>312</v>
      </c>
      <c r="F17" s="25" t="str">
        <f t="shared" si="1"/>
        <v>-</v>
      </c>
      <c r="G17" s="2"/>
      <c r="H17" s="2"/>
      <c r="I17" s="2"/>
      <c r="J17" s="2"/>
      <c r="K17" s="2"/>
      <c r="L17" s="2"/>
      <c r="M17" s="2"/>
    </row>
    <row r="18" spans="1:13" x14ac:dyDescent="0.25">
      <c r="A18" s="22" t="str">
        <f>+Config!H16</f>
        <v>A</v>
      </c>
      <c r="B18" s="23">
        <v>3</v>
      </c>
      <c r="C18" s="23">
        <v>2</v>
      </c>
      <c r="D18" s="23">
        <v>2</v>
      </c>
      <c r="E18" s="25" t="str">
        <f t="shared" si="0"/>
        <v>322</v>
      </c>
      <c r="F18" s="25" t="str">
        <f t="shared" si="1"/>
        <v>A</v>
      </c>
      <c r="G18" s="2"/>
    </row>
    <row r="19" spans="1:13" x14ac:dyDescent="0.25">
      <c r="A19" s="20" t="str">
        <f>+Config!H17</f>
        <v>Z</v>
      </c>
      <c r="B19" s="21">
        <v>3</v>
      </c>
      <c r="C19" s="21">
        <v>3</v>
      </c>
      <c r="D19" s="21">
        <v>2</v>
      </c>
      <c r="E19" s="25" t="str">
        <f t="shared" si="0"/>
        <v>332</v>
      </c>
      <c r="F19" s="25" t="str">
        <f t="shared" si="1"/>
        <v>Z</v>
      </c>
      <c r="G19" s="2"/>
    </row>
    <row r="20" spans="1:13" x14ac:dyDescent="0.25">
      <c r="A20" s="22" t="str">
        <f>+Config!J15</f>
        <v>T</v>
      </c>
      <c r="B20" s="23">
        <v>1</v>
      </c>
      <c r="C20" s="23">
        <v>1</v>
      </c>
      <c r="D20" s="23">
        <v>3</v>
      </c>
      <c r="E20" s="25" t="str">
        <f t="shared" si="0"/>
        <v>113</v>
      </c>
      <c r="F20" s="25" t="str">
        <f t="shared" si="1"/>
        <v>T</v>
      </c>
    </row>
    <row r="21" spans="1:13" x14ac:dyDescent="0.25">
      <c r="A21" s="22" t="str">
        <f>+Config!J16</f>
        <v>U</v>
      </c>
      <c r="B21" s="23">
        <v>1</v>
      </c>
      <c r="C21" s="23">
        <v>2</v>
      </c>
      <c r="D21" s="23">
        <v>3</v>
      </c>
      <c r="E21" s="25" t="str">
        <f t="shared" si="0"/>
        <v>123</v>
      </c>
      <c r="F21" s="25" t="str">
        <f t="shared" si="1"/>
        <v>U</v>
      </c>
    </row>
    <row r="22" spans="1:13" x14ac:dyDescent="0.25">
      <c r="A22" s="22" t="str">
        <f>+Config!J17</f>
        <v>O</v>
      </c>
      <c r="B22" s="23">
        <v>1</v>
      </c>
      <c r="C22" s="23">
        <v>3</v>
      </c>
      <c r="D22" s="23">
        <v>3</v>
      </c>
      <c r="E22" s="25" t="str">
        <f t="shared" si="0"/>
        <v>133</v>
      </c>
      <c r="F22" s="25" t="str">
        <f t="shared" si="1"/>
        <v>O</v>
      </c>
    </row>
    <row r="23" spans="1:13" x14ac:dyDescent="0.25">
      <c r="A23" s="22" t="str">
        <f>+Config!K15</f>
        <v>V</v>
      </c>
      <c r="B23" s="23">
        <v>2</v>
      </c>
      <c r="C23" s="23">
        <v>1</v>
      </c>
      <c r="D23" s="23">
        <v>3</v>
      </c>
      <c r="E23" s="25" t="str">
        <f t="shared" si="0"/>
        <v>213</v>
      </c>
      <c r="F23" s="25" t="str">
        <f t="shared" si="1"/>
        <v>V</v>
      </c>
    </row>
    <row r="24" spans="1:13" x14ac:dyDescent="0.25">
      <c r="A24" s="22" t="str">
        <f>+Config!K16</f>
        <v>P</v>
      </c>
      <c r="B24" s="23">
        <v>2</v>
      </c>
      <c r="C24" s="23">
        <v>2</v>
      </c>
      <c r="D24" s="23">
        <v>3</v>
      </c>
      <c r="E24" s="25" t="str">
        <f t="shared" si="0"/>
        <v>223</v>
      </c>
      <c r="F24" s="25" t="str">
        <f t="shared" si="1"/>
        <v>P</v>
      </c>
    </row>
    <row r="25" spans="1:13" x14ac:dyDescent="0.25">
      <c r="A25" s="22" t="str">
        <f>+Config!K17</f>
        <v>R</v>
      </c>
      <c r="B25" s="23">
        <v>2</v>
      </c>
      <c r="C25" s="23">
        <v>3</v>
      </c>
      <c r="D25" s="23">
        <v>3</v>
      </c>
      <c r="E25" s="25" t="str">
        <f t="shared" si="0"/>
        <v>233</v>
      </c>
      <c r="F25" s="25" t="str">
        <f t="shared" si="1"/>
        <v>R</v>
      </c>
    </row>
    <row r="26" spans="1:13" x14ac:dyDescent="0.25">
      <c r="A26" s="22" t="str">
        <f>+Config!L15</f>
        <v>W</v>
      </c>
      <c r="B26" s="23">
        <v>3</v>
      </c>
      <c r="C26" s="23">
        <v>1</v>
      </c>
      <c r="D26" s="23">
        <v>3</v>
      </c>
      <c r="E26" s="25" t="str">
        <f t="shared" si="0"/>
        <v>313</v>
      </c>
      <c r="F26" s="25" t="str">
        <f t="shared" si="1"/>
        <v>W</v>
      </c>
    </row>
    <row r="27" spans="1:13" x14ac:dyDescent="0.25">
      <c r="A27" s="22" t="str">
        <f>+Config!L16</f>
        <v>Y</v>
      </c>
      <c r="B27" s="23">
        <v>3</v>
      </c>
      <c r="C27" s="23">
        <v>2</v>
      </c>
      <c r="D27" s="23">
        <v>3</v>
      </c>
      <c r="E27" s="25" t="str">
        <f t="shared" si="0"/>
        <v>323</v>
      </c>
      <c r="F27" s="25" t="str">
        <f t="shared" si="1"/>
        <v>Y</v>
      </c>
    </row>
    <row r="28" spans="1:13" x14ac:dyDescent="0.25">
      <c r="A28" s="20" t="str">
        <f>+Config!L17</f>
        <v>X</v>
      </c>
      <c r="B28" s="21">
        <v>3</v>
      </c>
      <c r="C28" s="21">
        <v>3</v>
      </c>
      <c r="D28" s="21">
        <v>3</v>
      </c>
      <c r="E28" s="25" t="str">
        <f t="shared" si="0"/>
        <v>333</v>
      </c>
      <c r="F28" s="25" t="str">
        <f t="shared" si="1"/>
        <v>X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Config</vt:lpstr>
      <vt:lpstr>Original Statement</vt:lpstr>
      <vt:lpstr>Cifrar</vt:lpstr>
      <vt:lpstr>Descifrar</vt:lpstr>
      <vt:lpstr>Cuadro0</vt:lpstr>
      <vt:lpstr>Cuadro1</vt:lpstr>
      <vt:lpstr>Cuadro2</vt:lpstr>
      <vt:lpstr>Cuadro3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2021-01-15T16:20:18Z</dcterms:created>
  <dcterms:modified xsi:type="dcterms:W3CDTF">2021-01-15T16:29:02Z</dcterms:modified>
</cp:coreProperties>
</file>